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입력" sheetId="1" state="visible" r:id="rId3"/>
    <sheet name="Commercial Invoice" sheetId="2" state="visible" r:id="rId4"/>
    <sheet name="Packing List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<sst xmlns="http://schemas.openxmlformats.org/spreadsheetml/2006/main" count="155" uniqueCount="120">
  <si>
    <t xml:space="preserve">수출서류 입력시트</t>
  </si>
  <si>
    <r>
      <rPr>
        <i val="true"/>
        <sz val="9"/>
        <color rgb="FF808080"/>
        <rFont val="WenQuanYi Zen Hei"/>
        <family val="2"/>
      </rPr>
      <t xml:space="preserve">노란색 칸만 채우면 </t>
    </r>
    <r>
      <rPr>
        <i val="true"/>
        <sz val="9"/>
        <color rgb="FF808080"/>
        <rFont val="Arial"/>
        <family val="0"/>
        <charset val="1"/>
      </rPr>
      <t xml:space="preserve">Commercial Invoice </t>
    </r>
    <r>
      <rPr>
        <i val="true"/>
        <sz val="9"/>
        <color rgb="FF808080"/>
        <rFont val="WenQuanYi Zen Hei"/>
        <family val="2"/>
      </rPr>
      <t xml:space="preserve">와 </t>
    </r>
    <r>
      <rPr>
        <i val="true"/>
        <sz val="9"/>
        <color rgb="FF808080"/>
        <rFont val="Arial"/>
        <family val="0"/>
        <charset val="1"/>
      </rPr>
      <t xml:space="preserve">Packing List </t>
    </r>
    <r>
      <rPr>
        <i val="true"/>
        <sz val="9"/>
        <color rgb="FF808080"/>
        <rFont val="WenQuanYi Zen Hei"/>
        <family val="2"/>
      </rPr>
      <t xml:space="preserve">두 시트가 자동으로 완성됨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흰색 칸은 수식이므로 건드리지 말 것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</si>
  <si>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■ 거래 기본정보</t>
  </si>
  <si>
    <t xml:space="preserve">Invoice No.</t>
  </si>
  <si>
    <t xml:space="preserve">SY-2026-0001</t>
  </si>
  <si>
    <r>
      <rPr>
        <i val="true"/>
        <sz val="9"/>
        <color rgb="FF808080"/>
        <rFont val="WenQuanYi Zen Hei"/>
        <family val="2"/>
      </rPr>
      <t xml:space="preserve">송장번호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회사 규칙대로</t>
    </r>
  </si>
  <si>
    <t xml:space="preserve">Invoice Date</t>
  </si>
  <si>
    <t xml:space="preserve">2026-08-31</t>
  </si>
  <si>
    <t xml:space="preserve">YYYY-MM-DD</t>
  </si>
  <si>
    <t xml:space="preserve">P/O No.</t>
  </si>
  <si>
    <t xml:space="preserve">PO-8842</t>
  </si>
  <si>
    <r>
      <rPr>
        <i val="true"/>
        <sz val="9"/>
        <color rgb="FF808080"/>
        <rFont val="WenQuanYi Zen Hei"/>
        <family val="2"/>
      </rPr>
      <t xml:space="preserve">바이어 주문번호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없으면 공란</t>
    </r>
  </si>
  <si>
    <r>
      <rPr>
        <b val="true"/>
        <sz val="10"/>
        <rFont val="WenQuanYi Zen Hei"/>
        <family val="2"/>
      </rPr>
      <t xml:space="preserve">가격조건 </t>
    </r>
    <r>
      <rPr>
        <b val="true"/>
        <sz val="10"/>
        <rFont val="Arial"/>
        <family val="0"/>
        <charset val="1"/>
      </rPr>
      <t xml:space="preserve">(Incoterms)</t>
    </r>
  </si>
  <si>
    <t xml:space="preserve">FOB BUSAN</t>
  </si>
  <si>
    <r>
      <rPr>
        <i val="true"/>
        <sz val="9"/>
        <color rgb="FF808080"/>
        <rFont val="WenQuanYi Zen Hei"/>
        <family val="2"/>
      </rPr>
      <t xml:space="preserve">반드시 지정장소까지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예</t>
    </r>
    <r>
      <rPr>
        <i val="true"/>
        <sz val="9"/>
        <color rgb="FF808080"/>
        <rFont val="Arial"/>
        <family val="0"/>
        <charset val="1"/>
      </rPr>
      <t xml:space="preserve">) FOB BUSAN</t>
    </r>
  </si>
  <si>
    <r>
      <rPr>
        <b val="true"/>
        <sz val="10"/>
        <rFont val="Arial"/>
        <family val="0"/>
        <charset val="1"/>
      </rPr>
      <t xml:space="preserve">Incoterms </t>
    </r>
    <r>
      <rPr>
        <b val="true"/>
        <sz val="10"/>
        <rFont val="WenQuanYi Zen Hei"/>
        <family val="2"/>
      </rPr>
      <t xml:space="preserve">버전</t>
    </r>
  </si>
  <si>
    <t xml:space="preserve">Incoterms(R) 2020</t>
  </si>
  <si>
    <r>
      <rPr>
        <i val="true"/>
        <sz val="9"/>
        <color rgb="FF808080"/>
        <rFont val="Arial"/>
        <family val="0"/>
        <charset val="1"/>
      </rPr>
      <t xml:space="preserve">2020 </t>
    </r>
    <r>
      <rPr>
        <i val="true"/>
        <sz val="9"/>
        <color rgb="FF808080"/>
        <rFont val="WenQuanYi Zen Hei"/>
        <family val="2"/>
      </rPr>
      <t xml:space="preserve">으로 통일</t>
    </r>
  </si>
  <si>
    <r>
      <rPr>
        <b val="true"/>
        <sz val="10"/>
        <rFont val="WenQuanYi Zen Hei"/>
        <family val="2"/>
      </rPr>
      <t xml:space="preserve">결제조건 </t>
    </r>
    <r>
      <rPr>
        <b val="true"/>
        <sz val="10"/>
        <rFont val="Arial"/>
        <family val="0"/>
        <charset val="1"/>
      </rPr>
      <t xml:space="preserve">(Payment)</t>
    </r>
  </si>
  <si>
    <t xml:space="preserve">T/T 30% in advance, 70% after B/L</t>
  </si>
  <si>
    <t xml:space="preserve">구체적으로</t>
  </si>
  <si>
    <r>
      <rPr>
        <b val="true"/>
        <sz val="10"/>
        <rFont val="WenQuanYi Zen Hei"/>
        <family val="2"/>
      </rPr>
      <t xml:space="preserve">결제통화 </t>
    </r>
    <r>
      <rPr>
        <b val="true"/>
        <sz val="10"/>
        <rFont val="Arial"/>
        <family val="0"/>
        <charset val="1"/>
      </rPr>
      <t xml:space="preserve">(Currency)</t>
    </r>
  </si>
  <si>
    <t xml:space="preserve">USD</t>
  </si>
  <si>
    <r>
      <rPr>
        <i val="true"/>
        <sz val="9"/>
        <color rgb="FF808080"/>
        <rFont val="Arial"/>
        <family val="0"/>
        <charset val="1"/>
      </rPr>
      <t xml:space="preserve">USD / EUR / CNY </t>
    </r>
    <r>
      <rPr>
        <i val="true"/>
        <sz val="9"/>
        <color rgb="FF808080"/>
        <rFont val="WenQuanYi Zen Hei"/>
        <family val="2"/>
      </rPr>
      <t xml:space="preserve">등</t>
    </r>
  </si>
  <si>
    <r>
      <rPr>
        <b val="true"/>
        <sz val="10"/>
        <rFont val="WenQuanYi Zen Hei"/>
        <family val="2"/>
      </rPr>
      <t xml:space="preserve">원산지 </t>
    </r>
    <r>
      <rPr>
        <b val="true"/>
        <sz val="10"/>
        <rFont val="Arial"/>
        <family val="0"/>
        <charset val="1"/>
      </rPr>
      <t xml:space="preserve">(Country of Origin)</t>
    </r>
  </si>
  <si>
    <t xml:space="preserve">REPUBLIC OF KOREA</t>
  </si>
  <si>
    <r>
      <rPr>
        <b val="true"/>
        <sz val="10"/>
        <rFont val="WenQuanYi Zen Hei"/>
        <family val="2"/>
      </rPr>
      <t xml:space="preserve">선적항 </t>
    </r>
    <r>
      <rPr>
        <b val="true"/>
        <sz val="10"/>
        <rFont val="Arial"/>
        <family val="0"/>
        <charset val="1"/>
      </rPr>
      <t xml:space="preserve">(Port of Loading)</t>
    </r>
  </si>
  <si>
    <t xml:space="preserve">BUSAN, KOREA</t>
  </si>
  <si>
    <r>
      <rPr>
        <b val="true"/>
        <sz val="10"/>
        <rFont val="WenQuanYi Zen Hei"/>
        <family val="2"/>
      </rPr>
      <t xml:space="preserve">도착항 </t>
    </r>
    <r>
      <rPr>
        <b val="true"/>
        <sz val="10"/>
        <rFont val="Arial"/>
        <family val="0"/>
        <charset val="1"/>
      </rPr>
      <t xml:space="preserve">(Port of Discharge)</t>
    </r>
  </si>
  <si>
    <t xml:space="preserve">HO CHI MINH, VIETNAM</t>
  </si>
  <si>
    <r>
      <rPr>
        <b val="true"/>
        <sz val="10"/>
        <rFont val="WenQuanYi Zen Hei"/>
        <family val="2"/>
      </rPr>
      <t xml:space="preserve">최종목적지 </t>
    </r>
    <r>
      <rPr>
        <b val="true"/>
        <sz val="10"/>
        <rFont val="Arial"/>
        <family val="0"/>
        <charset val="1"/>
      </rPr>
      <t xml:space="preserve">(Final Destination)</t>
    </r>
  </si>
  <si>
    <r>
      <rPr>
        <b val="true"/>
        <sz val="10"/>
        <rFont val="WenQuanYi Zen Hei"/>
        <family val="2"/>
      </rPr>
      <t xml:space="preserve">선박명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항차 </t>
    </r>
    <r>
      <rPr>
        <b val="true"/>
        <sz val="10"/>
        <rFont val="Arial"/>
        <family val="0"/>
        <charset val="1"/>
      </rPr>
      <t xml:space="preserve">(Vessel/Voyage)</t>
    </r>
  </si>
  <si>
    <t xml:space="preserve">T.B.A.</t>
  </si>
  <si>
    <r>
      <rPr>
        <i val="true"/>
        <sz val="9"/>
        <color rgb="FF808080"/>
        <rFont val="WenQuanYi Zen Hei"/>
        <family val="2"/>
      </rPr>
      <t xml:space="preserve">미정이면 </t>
    </r>
    <r>
      <rPr>
        <i val="true"/>
        <sz val="9"/>
        <color rgb="FF808080"/>
        <rFont val="Arial"/>
        <family val="0"/>
        <charset val="1"/>
      </rPr>
      <t xml:space="preserve">T.B.A.</t>
    </r>
  </si>
  <si>
    <r>
      <rPr>
        <b val="true"/>
        <sz val="10"/>
        <rFont val="WenQuanYi Zen Hei"/>
        <family val="2"/>
      </rPr>
      <t xml:space="preserve">출항예정일 </t>
    </r>
    <r>
      <rPr>
        <b val="true"/>
        <sz val="10"/>
        <rFont val="Arial"/>
        <family val="0"/>
        <charset val="1"/>
      </rPr>
      <t xml:space="preserve">(ETD)</t>
    </r>
  </si>
  <si>
    <r>
      <rPr>
        <b val="true"/>
        <sz val="10"/>
        <rFont val="WenQuanYi Zen Hei"/>
        <family val="2"/>
      </rPr>
      <t xml:space="preserve">■ 수출자 </t>
    </r>
    <r>
      <rPr>
        <b val="true"/>
        <sz val="10"/>
        <rFont val="Arial"/>
        <family val="0"/>
        <charset val="1"/>
      </rPr>
      <t xml:space="preserve">(Shipper / Exporter)</t>
    </r>
  </si>
  <si>
    <t xml:space="preserve">상호</t>
  </si>
  <si>
    <t xml:space="preserve">SY COSMETICS CO., LTD.</t>
  </si>
  <si>
    <t xml:space="preserve">통관고유부호 등록 상호와 동일하게</t>
  </si>
  <si>
    <r>
      <rPr>
        <b val="true"/>
        <sz val="10"/>
        <rFont val="WenQuanYi Zen Hei"/>
        <family val="2"/>
      </rPr>
      <t xml:space="preserve">주소</t>
    </r>
    <r>
      <rPr>
        <b val="true"/>
        <sz val="10"/>
        <rFont val="Arial"/>
        <family val="0"/>
        <charset val="1"/>
      </rPr>
      <t xml:space="preserve">1</t>
    </r>
  </si>
  <si>
    <t xml:space="preserve">123, TEHERAN-RO, GANGNAM-GU</t>
  </si>
  <si>
    <r>
      <rPr>
        <b val="true"/>
        <sz val="10"/>
        <rFont val="WenQuanYi Zen Hei"/>
        <family val="2"/>
      </rPr>
      <t xml:space="preserve">주소</t>
    </r>
    <r>
      <rPr>
        <b val="true"/>
        <sz val="10"/>
        <rFont val="Arial"/>
        <family val="0"/>
        <charset val="1"/>
      </rPr>
      <t xml:space="preserve">2</t>
    </r>
  </si>
  <si>
    <t xml:space="preserve">SEOUL, 06234, REPUBLIC OF KOREA</t>
  </si>
  <si>
    <r>
      <rPr>
        <b val="true"/>
        <sz val="10"/>
        <rFont val="WenQuanYi Zen Hei"/>
        <family val="2"/>
      </rPr>
      <t xml:space="preserve">담당자</t>
    </r>
    <r>
      <rPr>
        <b val="true"/>
        <sz val="10"/>
        <rFont val="Arial"/>
        <family val="0"/>
        <charset val="1"/>
      </rPr>
      <t xml:space="preserve">/</t>
    </r>
    <r>
      <rPr>
        <b val="true"/>
        <sz val="10"/>
        <rFont val="WenQuanYi Zen Hei"/>
        <family val="2"/>
      </rPr>
      <t xml:space="preserve">연락처</t>
    </r>
  </si>
  <si>
    <t xml:space="preserve">J.S. LEE / +82-2-1234-5678</t>
  </si>
  <si>
    <t xml:space="preserve">통관고유부호</t>
  </si>
  <si>
    <t xml:space="preserve">1234567890123</t>
  </si>
  <si>
    <t xml:space="preserve">유니패스 발급</t>
  </si>
  <si>
    <r>
      <rPr>
        <b val="true"/>
        <sz val="10"/>
        <rFont val="WenQuanYi Zen Hei"/>
        <family val="2"/>
      </rPr>
      <t xml:space="preserve">■ 수입자 </t>
    </r>
    <r>
      <rPr>
        <b val="true"/>
        <sz val="10"/>
        <rFont val="Arial"/>
        <family val="0"/>
        <charset val="1"/>
      </rPr>
      <t xml:space="preserve">(Consignee)</t>
    </r>
  </si>
  <si>
    <t xml:space="preserve">ABC TRADING CO., LTD.</t>
  </si>
  <si>
    <t xml:space="preserve">해외거래처부호 등록 상호와 동일하게</t>
  </si>
  <si>
    <t xml:space="preserve">456 NGUYEN HUE STREET, DISTRICT 1</t>
  </si>
  <si>
    <t xml:space="preserve">HO CHI MINH CITY, VIETNAM</t>
  </si>
  <si>
    <t xml:space="preserve">MR. TRAN / +84-28-1234-5678</t>
  </si>
  <si>
    <t xml:space="preserve">해외거래처부호</t>
  </si>
  <si>
    <t xml:space="preserve">VN1234567</t>
  </si>
  <si>
    <t xml:space="preserve">유니패스 등록</t>
  </si>
  <si>
    <r>
      <rPr>
        <b val="true"/>
        <sz val="10"/>
        <rFont val="WenQuanYi Zen Hei"/>
        <family val="2"/>
      </rPr>
      <t xml:space="preserve">■ 착화통지처 </t>
    </r>
    <r>
      <rPr>
        <b val="true"/>
        <sz val="10"/>
        <rFont val="Arial"/>
        <family val="0"/>
        <charset val="1"/>
      </rPr>
      <t xml:space="preserve">(Notify Party)</t>
    </r>
  </si>
  <si>
    <t xml:space="preserve">표기</t>
  </si>
  <si>
    <t xml:space="preserve">SAME AS CONSIGNEE</t>
  </si>
  <si>
    <r>
      <rPr>
        <i val="true"/>
        <sz val="9"/>
        <color rgb="FF808080"/>
        <rFont val="WenQuanYi Zen Hei"/>
        <family val="2"/>
      </rPr>
      <t xml:space="preserve">수입자와 같으면 </t>
    </r>
    <r>
      <rPr>
        <i val="true"/>
        <sz val="9"/>
        <color rgb="FF808080"/>
        <rFont val="Arial"/>
        <family val="0"/>
        <charset val="1"/>
      </rPr>
      <t xml:space="preserve">SAME AS CONSIGNEE</t>
    </r>
  </si>
  <si>
    <t xml:space="preserve">■ 포장 총괄</t>
  </si>
  <si>
    <t xml:space="preserve">포장단위</t>
  </si>
  <si>
    <t xml:space="preserve">CTNS</t>
  </si>
  <si>
    <r>
      <rPr>
        <i val="true"/>
        <sz val="9"/>
        <color rgb="FF808080"/>
        <rFont val="Arial"/>
        <family val="0"/>
        <charset val="1"/>
      </rPr>
      <t xml:space="preserve">CTNS(</t>
    </r>
    <r>
      <rPr>
        <i val="true"/>
        <sz val="9"/>
        <color rgb="FF808080"/>
        <rFont val="WenQuanYi Zen Hei"/>
        <family val="2"/>
      </rPr>
      <t xml:space="preserve">박스</t>
    </r>
    <r>
      <rPr>
        <i val="true"/>
        <sz val="9"/>
        <color rgb="FF808080"/>
        <rFont val="Arial"/>
        <family val="0"/>
        <charset val="1"/>
      </rPr>
      <t xml:space="preserve">) / PLTS(</t>
    </r>
    <r>
      <rPr>
        <i val="true"/>
        <sz val="9"/>
        <color rgb="FF808080"/>
        <rFont val="WenQuanYi Zen Hei"/>
        <family val="2"/>
      </rPr>
      <t xml:space="preserve">팔레트</t>
    </r>
    <r>
      <rPr>
        <i val="true"/>
        <sz val="9"/>
        <color rgb="FF808080"/>
        <rFont val="Arial"/>
        <family val="0"/>
        <charset val="1"/>
      </rPr>
      <t xml:space="preserve">) </t>
    </r>
    <r>
      <rPr>
        <i val="true"/>
        <sz val="9"/>
        <color rgb="FF808080"/>
        <rFont val="WenQuanYi Zen Hei"/>
        <family val="2"/>
      </rPr>
      <t xml:space="preserve">등</t>
    </r>
  </si>
  <si>
    <r>
      <rPr>
        <b val="true"/>
        <sz val="10"/>
        <rFont val="WenQuanYi Zen Hei"/>
        <family val="2"/>
      </rPr>
      <t xml:space="preserve">총 부피 </t>
    </r>
    <r>
      <rPr>
        <b val="true"/>
        <sz val="10"/>
        <rFont val="Arial"/>
        <family val="0"/>
        <charset val="1"/>
      </rPr>
      <t xml:space="preserve">(CBM)</t>
    </r>
  </si>
  <si>
    <t xml:space="preserve">숫자만</t>
  </si>
  <si>
    <r>
      <rPr>
        <b val="true"/>
        <sz val="10"/>
        <rFont val="WenQuanYi Zen Hei"/>
        <family val="2"/>
      </rPr>
      <t xml:space="preserve">■ 품목 </t>
    </r>
    <r>
      <rPr>
        <b val="true"/>
        <sz val="10"/>
        <rFont val="Arial"/>
        <family val="0"/>
        <charset val="1"/>
      </rPr>
      <t xml:space="preserve">(</t>
    </r>
    <r>
      <rPr>
        <b val="true"/>
        <sz val="10"/>
        <rFont val="WenQuanYi Zen Hei"/>
        <family val="2"/>
      </rPr>
      <t xml:space="preserve">아래 표만 채우면 됨</t>
    </r>
    <r>
      <rPr>
        <b val="true"/>
        <sz val="10"/>
        <rFont val="Arial"/>
        <family val="0"/>
        <charset val="1"/>
      </rPr>
      <t xml:space="preserve">. </t>
    </r>
    <r>
      <rPr>
        <b val="true"/>
        <sz val="10"/>
        <rFont val="WenQuanYi Zen Hei"/>
        <family val="2"/>
      </rPr>
      <t xml:space="preserve">최대 </t>
    </r>
    <r>
      <rPr>
        <b val="true"/>
        <sz val="10"/>
        <rFont val="Arial"/>
        <family val="0"/>
        <charset val="1"/>
      </rPr>
      <t xml:space="preserve">15</t>
    </r>
    <r>
      <rPr>
        <b val="true"/>
        <sz val="10"/>
        <rFont val="WenQuanYi Zen Hei"/>
        <family val="2"/>
      </rPr>
      <t xml:space="preserve">행</t>
    </r>
    <r>
      <rPr>
        <b val="true"/>
        <sz val="10"/>
        <rFont val="Arial"/>
        <family val="0"/>
        <charset val="1"/>
      </rPr>
      <t xml:space="preserve">)</t>
    </r>
  </si>
  <si>
    <t xml:space="preserve">No.</t>
  </si>
  <si>
    <r>
      <rPr>
        <b val="true"/>
        <sz val="10"/>
        <color rgb="FFFFFFFF"/>
        <rFont val="WenQuanYi Zen Hei"/>
        <family val="2"/>
      </rPr>
      <t xml:space="preserve">품명 </t>
    </r>
    <r>
      <rPr>
        <b val="true"/>
        <sz val="10"/>
        <color rgb="FFFFFFFF"/>
        <rFont val="Arial"/>
        <family val="0"/>
        <charset val="1"/>
      </rPr>
      <t xml:space="preserve">(Description)</t>
    </r>
  </si>
  <si>
    <r>
      <rPr>
        <b val="true"/>
        <sz val="10"/>
        <color rgb="FFFFFFFF"/>
        <rFont val="WenQuanYi Zen Hei"/>
        <family val="2"/>
      </rPr>
      <t xml:space="preserve">규격 </t>
    </r>
    <r>
      <rPr>
        <b val="true"/>
        <sz val="10"/>
        <color rgb="FFFFFFFF"/>
        <rFont val="Arial"/>
        <family val="0"/>
        <charset val="1"/>
      </rPr>
      <t xml:space="preserve">(Spec)</t>
    </r>
  </si>
  <si>
    <t xml:space="preserve">HS CODE</t>
  </si>
  <si>
    <t xml:space="preserve">수량</t>
  </si>
  <si>
    <t xml:space="preserve">단위</t>
  </si>
  <si>
    <t xml:space="preserve">단가</t>
  </si>
  <si>
    <t xml:space="preserve">금액</t>
  </si>
  <si>
    <r>
      <rPr>
        <b val="true"/>
        <sz val="10"/>
        <color rgb="FFFFFFFF"/>
        <rFont val="WenQuanYi Zen Hei"/>
        <family val="2"/>
      </rPr>
      <t xml:space="preserve">순중량 </t>
    </r>
    <r>
      <rPr>
        <b val="true"/>
        <sz val="10"/>
        <color rgb="FFFFFFFF"/>
        <rFont val="Arial"/>
        <family val="0"/>
        <charset val="1"/>
      </rPr>
      <t xml:space="preserve">N.W.(kg)</t>
    </r>
  </si>
  <si>
    <r>
      <rPr>
        <b val="true"/>
        <sz val="10"/>
        <color rgb="FFFFFFFF"/>
        <rFont val="WenQuanYi Zen Hei"/>
        <family val="2"/>
      </rPr>
      <t xml:space="preserve">총중량 </t>
    </r>
    <r>
      <rPr>
        <b val="true"/>
        <sz val="10"/>
        <color rgb="FFFFFFFF"/>
        <rFont val="Arial"/>
        <family val="0"/>
        <charset val="1"/>
      </rPr>
      <t xml:space="preserve">G.W.(kg)</t>
    </r>
  </si>
  <si>
    <t xml:space="preserve">포장수량</t>
  </si>
  <si>
    <t xml:space="preserve">FACIAL CLEANSING FOAM 150ML</t>
  </si>
  <si>
    <t xml:space="preserve">MODEL SY-CF150</t>
  </si>
  <si>
    <t xml:space="preserve">3304.99</t>
  </si>
  <si>
    <t xml:space="preserve">PCS</t>
  </si>
  <si>
    <t xml:space="preserve">TOTAL</t>
  </si>
  <si>
    <t xml:space="preserve">작성 주의</t>
  </si>
  <si>
    <r>
      <rPr>
        <i val="true"/>
        <sz val="9"/>
        <color rgb="FF808080"/>
        <rFont val="Arial"/>
        <family val="0"/>
        <charset val="1"/>
      </rPr>
      <t xml:space="preserve">01  </t>
    </r>
    <r>
      <rPr>
        <i val="true"/>
        <sz val="9"/>
        <color rgb="FF808080"/>
        <rFont val="WenQuanYi Zen Hei"/>
        <family val="2"/>
      </rPr>
      <t xml:space="preserve">품명은 관세사가 </t>
    </r>
    <r>
      <rPr>
        <i val="true"/>
        <sz val="9"/>
        <color rgb="FF808080"/>
        <rFont val="Arial"/>
        <family val="0"/>
        <charset val="1"/>
      </rPr>
      <t xml:space="preserve">HS </t>
    </r>
    <r>
      <rPr>
        <i val="true"/>
        <sz val="9"/>
        <color rgb="FF808080"/>
        <rFont val="WenQuanYi Zen Hei"/>
        <family val="2"/>
      </rPr>
      <t xml:space="preserve">분류를 할 수 있을 만큼 구체적으로</t>
    </r>
    <r>
      <rPr>
        <i val="true"/>
        <sz val="9"/>
        <color rgb="FF808080"/>
        <rFont val="Arial"/>
        <family val="0"/>
        <charset val="1"/>
      </rPr>
      <t xml:space="preserve">. PARTS </t>
    </r>
    <r>
      <rPr>
        <i val="true"/>
        <sz val="9"/>
        <color rgb="FF808080"/>
        <rFont val="WenQuanYi Zen Hei"/>
        <family val="2"/>
      </rPr>
      <t xml:space="preserve">같은 표기는 분류 불가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</si>
  <si>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02  </t>
    </r>
    <r>
      <rPr>
        <i val="true"/>
        <sz val="9"/>
        <color rgb="FF808080"/>
        <rFont val="WenQuanYi Zen Hei"/>
        <family val="2"/>
      </rPr>
      <t xml:space="preserve">수출자</t>
    </r>
    <r>
      <rPr>
        <i val="true"/>
        <sz val="9"/>
        <color rgb="FF808080"/>
        <rFont val="Arial"/>
        <family val="0"/>
        <charset val="1"/>
      </rPr>
      <t xml:space="preserve">/</t>
    </r>
    <r>
      <rPr>
        <i val="true"/>
        <sz val="9"/>
        <color rgb="FF808080"/>
        <rFont val="WenQuanYi Zen Hei"/>
        <family val="2"/>
      </rPr>
      <t xml:space="preserve">수입자 상호와 주소는 통관고유부호 및 해외거래처부호 등록정보와 대소문자까지 일치시킬 것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</si>
  <si>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03  </t>
    </r>
    <r>
      <rPr>
        <i val="true"/>
        <sz val="9"/>
        <color rgb="FF808080"/>
        <rFont val="WenQuanYi Zen Hei"/>
        <family val="2"/>
      </rPr>
      <t xml:space="preserve">원산지증명서를 발급할 예정이면 이 일치 여부가 특히 중요함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불일치 시 </t>
    </r>
    <r>
      <rPr>
        <i val="true"/>
        <sz val="9"/>
        <color rgb="FF808080"/>
        <rFont val="Arial"/>
        <family val="0"/>
        <charset val="1"/>
      </rPr>
      <t xml:space="preserve">C/O </t>
    </r>
    <r>
      <rPr>
        <i val="true"/>
        <sz val="9"/>
        <color rgb="FF808080"/>
        <rFont val="WenQuanYi Zen Hei"/>
        <family val="2"/>
      </rPr>
      <t xml:space="preserve">재발행 및 원본 회수까지 번짐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</si>
  <si>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04  </t>
    </r>
    <r>
      <rPr>
        <i val="true"/>
        <sz val="9"/>
        <color rgb="FF808080"/>
        <rFont val="WenQuanYi Zen Hei"/>
        <family val="2"/>
      </rPr>
      <t xml:space="preserve">총중량</t>
    </r>
    <r>
      <rPr>
        <i val="true"/>
        <sz val="9"/>
        <color rgb="FF808080"/>
        <rFont val="Arial"/>
        <family val="0"/>
        <charset val="1"/>
      </rPr>
      <t xml:space="preserve">(G.W.)</t>
    </r>
    <r>
      <rPr>
        <i val="true"/>
        <sz val="9"/>
        <color rgb="FF808080"/>
        <rFont val="WenQuanYi Zen Hei"/>
        <family val="2"/>
      </rPr>
      <t xml:space="preserve">은 포장 포함</t>
    </r>
    <r>
      <rPr>
        <i val="true"/>
        <sz val="9"/>
        <color rgb="FF808080"/>
        <rFont val="Arial"/>
        <family val="0"/>
        <charset val="1"/>
      </rPr>
      <t xml:space="preserve">, </t>
    </r>
    <r>
      <rPr>
        <i val="true"/>
        <sz val="9"/>
        <color rgb="FF808080"/>
        <rFont val="WenQuanYi Zen Hei"/>
        <family val="2"/>
      </rPr>
      <t xml:space="preserve">순중량</t>
    </r>
    <r>
      <rPr>
        <i val="true"/>
        <sz val="9"/>
        <color rgb="FF808080"/>
        <rFont val="Arial"/>
        <family val="0"/>
        <charset val="1"/>
      </rPr>
      <t xml:space="preserve">(N.W.)</t>
    </r>
    <r>
      <rPr>
        <i val="true"/>
        <sz val="9"/>
        <color rgb="FF808080"/>
        <rFont val="WenQuanYi Zen Hei"/>
        <family val="2"/>
      </rPr>
      <t xml:space="preserve">은 포장 제외</t>
    </r>
    <r>
      <rPr>
        <i val="true"/>
        <sz val="9"/>
        <color rgb="FF808080"/>
        <rFont val="Arial"/>
        <family val="0"/>
        <charset val="1"/>
      </rPr>
      <t xml:space="preserve">. </t>
    </r>
    <r>
      <rPr>
        <i val="true"/>
        <sz val="9"/>
        <color rgb="FF808080"/>
        <rFont val="WenQuanYi Zen Hei"/>
        <family val="2"/>
      </rPr>
      <t xml:space="preserve">신고중량과 실제중량 차이는 미선적 처리의 주원인</t>
    </r>
    <r>
      <rPr>
        <i val="true"/>
        <sz val="9"/>
        <color rgb="FF808080"/>
        <rFont val="Arial"/>
        <family val="0"/>
        <charset val="1"/>
      </rPr>
      <t xml:space="preserve">.</t>
    </r>
  </si>
  <si>
    <r>
      <rPr>
        <i val="true"/>
        <sz val="9"/>
        <color rgb="FF808080"/>
        <rFont val="Arial"/>
        <family val="0"/>
        <charset val="1"/>
      </rPr>
      <t xml:space="preserve">05  CIF/CFR </t>
    </r>
    <r>
      <rPr>
        <i val="true"/>
        <sz val="9"/>
        <color rgb="FF808080"/>
        <rFont val="WenQuanYi Zen Hei"/>
        <family val="2"/>
      </rPr>
      <t xml:space="preserve">조건이면 운임과 보험료 금액을 관세사에게 별도로 알려주어야 수출신고가 됨</t>
    </r>
    <r>
      <rPr>
        <i val="true"/>
        <sz val="9"/>
        <color rgb="FF808080"/>
        <rFont val="Arial"/>
        <family val="0"/>
        <charset val="1"/>
      </rPr>
      <t xml:space="preserve">.</t>
    </r>
  </si>
  <si>
    <t xml:space="preserve">COMMERCIAL INVOICE</t>
  </si>
  <si>
    <t xml:space="preserve">Shipper / Exporter</t>
  </si>
  <si>
    <t xml:space="preserve">Date</t>
  </si>
  <si>
    <t xml:space="preserve">Consignee</t>
  </si>
  <si>
    <t xml:space="preserve">Notify Party</t>
  </si>
  <si>
    <t xml:space="preserve">Port of Loading</t>
  </si>
  <si>
    <t xml:space="preserve">Port of Discharge</t>
  </si>
  <si>
    <t xml:space="preserve">Final Destination</t>
  </si>
  <si>
    <t xml:space="preserve">Vessel / Voyage</t>
  </si>
  <si>
    <t xml:space="preserve">ETD</t>
  </si>
  <si>
    <t xml:space="preserve">Country of Origin</t>
  </si>
  <si>
    <t xml:space="preserve">Price Term</t>
  </si>
  <si>
    <t xml:space="preserve">Incoterms</t>
  </si>
  <si>
    <t xml:space="preserve">Payment Term</t>
  </si>
  <si>
    <t xml:space="preserve">Currency</t>
  </si>
  <si>
    <t xml:space="preserve">Description</t>
  </si>
  <si>
    <t xml:space="preserve">Spec</t>
  </si>
  <si>
    <t xml:space="preserve">Q'ty</t>
  </si>
  <si>
    <t xml:space="preserve">Unit</t>
  </si>
  <si>
    <t xml:space="preserve">Unit Price</t>
  </si>
  <si>
    <t xml:space="preserve">Amount</t>
  </si>
  <si>
    <t xml:space="preserve">Total Amount</t>
  </si>
  <si>
    <t xml:space="preserve">Signed by</t>
  </si>
  <si>
    <t xml:space="preserve">________________________</t>
  </si>
  <si>
    <t xml:space="preserve">PACKING LIST</t>
  </si>
  <si>
    <t xml:space="preserve">N.W.(kg)</t>
  </si>
  <si>
    <t xml:space="preserve">G.W.(kg)</t>
  </si>
  <si>
    <t xml:space="preserve">Packages</t>
  </si>
  <si>
    <t xml:space="preserve">Total Packages</t>
  </si>
  <si>
    <t xml:space="preserve">Total Measurement (CBM)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</si>
</sst>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WenQuanYi Zen Hei"/>
      <family val="2"/>
    </font>
    <font>
      <i val="true"/>
      <sz val="9"/>
      <color rgb="FF808080"/>
      <name val="WenQuanYi Zen Hei"/>
      <family val="2"/>
    </font>
    <font>
      <i val="true"/>
      <sz val="9"/>
      <color rgb="FF808080"/>
      <name val="Arial"/>
      <family val="0"/>
      <charset val="1"/>
    </font>
    <font>
      <b val="true"/>
      <sz val="10"/>
      <name val="WenQuanYi Zen Hei"/>
      <family val="2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WenQuanYi Zen Hei"/>
      <family val="2"/>
    </font>
    <font>
      <sz val="10"/>
      <name val="Arial"/>
      <family val="0"/>
      <charset val="1"/>
    </font>
    <font>
      <b val="true"/>
      <sz val="1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04040"/>
        <bgColor rgb="FF3333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K65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10" min="9" style="0" width="16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  <c r="C5" s="6" t="s">
        <v>5</v>
      </c>
    </row>
    <row r="6" customFormat="false" ht="15" hidden="false" customHeight="false" outlineLevel="0" collapsed="false">
      <c r="A6" s="4" t="s">
        <v>6</v>
      </c>
      <c r="B6" s="5" t="s">
        <v>7</v>
      </c>
      <c r="C6" s="7" t="s">
        <v>8</v>
      </c>
    </row>
    <row r="7" customFormat="false" ht="15" hidden="false" customHeight="false" outlineLevel="0" collapsed="false">
      <c r="A7" s="4" t="s">
        <v>9</v>
      </c>
      <c r="B7" s="5" t="s">
        <v>10</v>
      </c>
      <c r="C7" s="6" t="s">
        <v>11</v>
      </c>
    </row>
    <row r="8" customFormat="false" ht="15" hidden="false" customHeight="false" outlineLevel="0" collapsed="false">
      <c r="A8" s="3" t="s">
        <v>12</v>
      </c>
      <c r="B8" s="5" t="s">
        <v>13</v>
      </c>
      <c r="C8" s="6" t="s">
        <v>14</v>
      </c>
    </row>
    <row r="9" customFormat="false" ht="15" hidden="false" customHeight="false" outlineLevel="0" collapsed="false">
      <c r="A9" s="4" t="s">
        <v>15</v>
      </c>
      <c r="B9" s="5" t="s">
        <v>16</v>
      </c>
      <c r="C9" s="7" t="s">
        <v>17</v>
      </c>
    </row>
    <row r="10" customFormat="false" ht="15" hidden="false" customHeight="false" outlineLevel="0" collapsed="false">
      <c r="A10" s="3" t="s">
        <v>18</v>
      </c>
      <c r="B10" s="5" t="s">
        <v>19</v>
      </c>
      <c r="C10" s="6" t="s">
        <v>20</v>
      </c>
    </row>
    <row r="11" customFormat="false" ht="15" hidden="false" customHeight="false" outlineLevel="0" collapsed="false">
      <c r="A11" s="3" t="s">
        <v>21</v>
      </c>
      <c r="B11" s="5" t="s">
        <v>22</v>
      </c>
      <c r="C11" s="7" t="s">
        <v>23</v>
      </c>
    </row>
    <row r="12" customFormat="false" ht="15" hidden="false" customHeight="false" outlineLevel="0" collapsed="false">
      <c r="A12" s="3" t="s">
        <v>24</v>
      </c>
      <c r="B12" s="5" t="s">
        <v>25</v>
      </c>
    </row>
    <row r="13" customFormat="false" ht="15" hidden="false" customHeight="false" outlineLevel="0" collapsed="false">
      <c r="A13" s="3" t="s">
        <v>26</v>
      </c>
      <c r="B13" s="5" t="s">
        <v>27</v>
      </c>
    </row>
    <row r="14" customFormat="false" ht="15" hidden="false" customHeight="false" outlineLevel="0" collapsed="false">
      <c r="A14" s="3" t="s">
        <v>28</v>
      </c>
      <c r="B14" s="5" t="s">
        <v>29</v>
      </c>
    </row>
    <row r="15" customFormat="false" ht="15" hidden="false" customHeight="false" outlineLevel="0" collapsed="false">
      <c r="A15" s="3" t="s">
        <v>30</v>
      </c>
      <c r="B15" s="5" t="s">
        <v>29</v>
      </c>
    </row>
    <row r="16" customFormat="false" ht="15" hidden="false" customHeight="false" outlineLevel="0" collapsed="false">
      <c r="A16" s="3" t="s">
        <v>31</v>
      </c>
      <c r="B16" s="5" t="s">
        <v>32</v>
      </c>
      <c r="C16" s="6" t="s">
        <v>33</v>
      </c>
    </row>
    <row r="17" customFormat="false" ht="15" hidden="false" customHeight="false" outlineLevel="0" collapsed="false">
      <c r="A17" s="3" t="s">
        <v>34</v>
      </c>
      <c r="B17" s="5" t="s">
        <v>32</v>
      </c>
      <c r="C17" s="6" t="s">
        <v>33</v>
      </c>
    </row>
    <row r="19" customFormat="false" ht="15" hidden="false" customHeight="false" outlineLevel="0" collapsed="false">
      <c r="A19" s="3" t="s">
        <v>35</v>
      </c>
    </row>
    <row r="20" customFormat="false" ht="15" hidden="false" customHeight="false" outlineLevel="0" collapsed="false">
      <c r="A20" s="3" t="s">
        <v>36</v>
      </c>
      <c r="B20" s="5" t="s">
        <v>37</v>
      </c>
      <c r="C20" s="6" t="s">
        <v>38</v>
      </c>
    </row>
    <row r="21" customFormat="false" ht="15" hidden="false" customHeight="false" outlineLevel="0" collapsed="false">
      <c r="A21" s="3" t="s">
        <v>39</v>
      </c>
      <c r="B21" s="5" t="s">
        <v>40</v>
      </c>
    </row>
    <row r="22" customFormat="false" ht="15" hidden="false" customHeight="false" outlineLevel="0" collapsed="false">
      <c r="A22" s="3" t="s">
        <v>41</v>
      </c>
      <c r="B22" s="5" t="s">
        <v>42</v>
      </c>
    </row>
    <row r="23" customFormat="false" ht="15" hidden="false" customHeight="false" outlineLevel="0" collapsed="false">
      <c r="A23" s="3" t="s">
        <v>43</v>
      </c>
      <c r="B23" s="5" t="s">
        <v>44</v>
      </c>
    </row>
    <row r="24" customFormat="false" ht="15" hidden="false" customHeight="false" outlineLevel="0" collapsed="false">
      <c r="A24" s="3" t="s">
        <v>45</v>
      </c>
      <c r="B24" s="5" t="s">
        <v>46</v>
      </c>
      <c r="C24" s="6" t="s">
        <v>47</v>
      </c>
    </row>
    <row r="26" customFormat="false" ht="15" hidden="false" customHeight="false" outlineLevel="0" collapsed="false">
      <c r="A26" s="3" t="s">
        <v>48</v>
      </c>
    </row>
    <row r="27" customFormat="false" ht="15" hidden="false" customHeight="false" outlineLevel="0" collapsed="false">
      <c r="A27" s="3" t="s">
        <v>36</v>
      </c>
      <c r="B27" s="5" t="s">
        <v>49</v>
      </c>
      <c r="C27" s="6" t="s">
        <v>50</v>
      </c>
    </row>
    <row r="28" customFormat="false" ht="15" hidden="false" customHeight="false" outlineLevel="0" collapsed="false">
      <c r="A28" s="3" t="s">
        <v>39</v>
      </c>
      <c r="B28" s="5" t="s">
        <v>51</v>
      </c>
    </row>
    <row r="29" customFormat="false" ht="15" hidden="false" customHeight="false" outlineLevel="0" collapsed="false">
      <c r="A29" s="3" t="s">
        <v>41</v>
      </c>
      <c r="B29" s="5" t="s">
        <v>52</v>
      </c>
    </row>
    <row r="30" customFormat="false" ht="15" hidden="false" customHeight="false" outlineLevel="0" collapsed="false">
      <c r="A30" s="3" t="s">
        <v>43</v>
      </c>
      <c r="B30" s="5" t="s">
        <v>53</v>
      </c>
    </row>
    <row r="31" customFormat="false" ht="15" hidden="false" customHeight="false" outlineLevel="0" collapsed="false">
      <c r="A31" s="3" t="s">
        <v>54</v>
      </c>
      <c r="B31" s="5" t="s">
        <v>55</v>
      </c>
      <c r="C31" s="6" t="s">
        <v>56</v>
      </c>
    </row>
    <row r="33" customFormat="false" ht="15" hidden="false" customHeight="false" outlineLevel="0" collapsed="false">
      <c r="A33" s="3" t="s">
        <v>57</v>
      </c>
    </row>
    <row r="34" customFormat="false" ht="15" hidden="false" customHeight="false" outlineLevel="0" collapsed="false">
      <c r="A34" s="3" t="s">
        <v>58</v>
      </c>
      <c r="B34" s="5" t="s">
        <v>59</v>
      </c>
      <c r="C34" s="6" t="s">
        <v>60</v>
      </c>
    </row>
    <row r="36" customFormat="false" ht="15" hidden="false" customHeight="false" outlineLevel="0" collapsed="false">
      <c r="A36" s="3" t="s">
        <v>61</v>
      </c>
    </row>
    <row r="37" customFormat="false" ht="15" hidden="false" customHeight="false" outlineLevel="0" collapsed="false">
      <c r="A37" s="3" t="s">
        <v>62</v>
      </c>
      <c r="B37" s="5" t="s">
        <v>63</v>
      </c>
      <c r="C37" s="7" t="s">
        <v>64</v>
      </c>
    </row>
    <row r="38" customFormat="false" ht="15" hidden="false" customHeight="false" outlineLevel="0" collapsed="false">
      <c r="A38" s="3" t="s">
        <v>65</v>
      </c>
      <c r="B38" s="5" t="n">
        <v>2.45</v>
      </c>
      <c r="C38" s="6" t="s">
        <v>66</v>
      </c>
    </row>
    <row r="41" customFormat="false" ht="15" hidden="false" customHeight="false" outlineLevel="0" collapsed="false">
      <c r="A41" s="3" t="s">
        <v>67</v>
      </c>
    </row>
    <row r="42" customFormat="false" ht="15" hidden="false" customHeight="false" outlineLevel="0" collapsed="false">
      <c r="A42" s="8" t="s">
        <v>68</v>
      </c>
      <c r="B42" s="9" t="s">
        <v>69</v>
      </c>
      <c r="C42" s="9" t="s">
        <v>70</v>
      </c>
      <c r="D42" s="8" t="s">
        <v>71</v>
      </c>
      <c r="E42" s="9" t="s">
        <v>72</v>
      </c>
      <c r="F42" s="9" t="s">
        <v>73</v>
      </c>
      <c r="G42" s="9" t="s">
        <v>74</v>
      </c>
      <c r="H42" s="9" t="s">
        <v>75</v>
      </c>
      <c r="I42" s="9" t="s">
        <v>76</v>
      </c>
      <c r="J42" s="9" t="s">
        <v>77</v>
      </c>
      <c r="K42" s="9" t="s">
        <v>78</v>
      </c>
    </row>
    <row r="43" customFormat="false" ht="15" hidden="false" customHeight="false" outlineLevel="0" collapsed="false">
      <c r="A43" s="5" t="n">
        <v>1</v>
      </c>
      <c r="B43" s="5" t="s">
        <v>79</v>
      </c>
      <c r="C43" s="5" t="s">
        <v>80</v>
      </c>
      <c r="D43" s="5" t="s">
        <v>81</v>
      </c>
      <c r="E43" s="5" t="n">
        <v>1200</v>
      </c>
      <c r="F43" s="5" t="s">
        <v>82</v>
      </c>
      <c r="G43" s="5" t="n">
        <v>3.5</v>
      </c>
      <c r="H43" s="10" t="n">
        <f aca="false">IF(E43="","",E43*G43)</f>
        <v>4200</v>
      </c>
      <c r="I43" s="5" t="n">
        <v>180</v>
      </c>
      <c r="J43" s="5" t="n">
        <v>210.5</v>
      </c>
      <c r="K43" s="5" t="n">
        <v>50</v>
      </c>
    </row>
    <row r="44" customFormat="false" ht="15" hidden="false" customHeight="false" outlineLevel="0" collapsed="false">
      <c r="A44" s="5"/>
      <c r="B44" s="5"/>
      <c r="C44" s="5"/>
      <c r="D44" s="5"/>
      <c r="E44" s="5"/>
      <c r="F44" s="5"/>
      <c r="G44" s="5"/>
      <c r="H44" s="11" t="str">
        <f aca="false">IF(E44="","",E44*G44)</f>
        <v/>
      </c>
      <c r="I44" s="5"/>
      <c r="J44" s="5"/>
      <c r="K44" s="5"/>
    </row>
    <row r="45" customFormat="false" ht="15" hidden="false" customHeight="false" outlineLevel="0" collapsed="false">
      <c r="A45" s="5"/>
      <c r="B45" s="5"/>
      <c r="C45" s="5"/>
      <c r="D45" s="5"/>
      <c r="E45" s="5"/>
      <c r="F45" s="5"/>
      <c r="G45" s="5"/>
      <c r="H45" s="11" t="str">
        <f aca="false">IF(E45="","",E45*G45)</f>
        <v/>
      </c>
      <c r="I45" s="5"/>
      <c r="J45" s="5"/>
      <c r="K45" s="5"/>
    </row>
    <row r="46" customFormat="false" ht="15" hidden="false" customHeight="false" outlineLevel="0" collapsed="false">
      <c r="A46" s="5"/>
      <c r="B46" s="5"/>
      <c r="C46" s="5"/>
      <c r="D46" s="5"/>
      <c r="E46" s="5"/>
      <c r="F46" s="5"/>
      <c r="G46" s="5"/>
      <c r="H46" s="11" t="str">
        <f aca="false">IF(E46="","",E46*G46)</f>
        <v/>
      </c>
      <c r="I46" s="5"/>
      <c r="J46" s="5"/>
      <c r="K46" s="5"/>
    </row>
    <row r="47" customFormat="false" ht="15" hidden="false" customHeight="false" outlineLevel="0" collapsed="false">
      <c r="A47" s="5"/>
      <c r="B47" s="5"/>
      <c r="C47" s="5"/>
      <c r="D47" s="5"/>
      <c r="E47" s="5"/>
      <c r="F47" s="5"/>
      <c r="G47" s="5"/>
      <c r="H47" s="11" t="str">
        <f aca="false">IF(E47="","",E47*G47)</f>
        <v/>
      </c>
      <c r="I47" s="5"/>
      <c r="J47" s="5"/>
      <c r="K47" s="5"/>
    </row>
    <row r="48" customFormat="false" ht="15" hidden="false" customHeight="false" outlineLevel="0" collapsed="false">
      <c r="A48" s="5"/>
      <c r="B48" s="5"/>
      <c r="C48" s="5"/>
      <c r="D48" s="5"/>
      <c r="E48" s="5"/>
      <c r="F48" s="5"/>
      <c r="G48" s="5"/>
      <c r="H48" s="11" t="str">
        <f aca="false">IF(E48="","",E48*G48)</f>
        <v/>
      </c>
      <c r="I48" s="5"/>
      <c r="J48" s="5"/>
      <c r="K48" s="5"/>
    </row>
    <row r="49" customFormat="false" ht="15" hidden="false" customHeight="false" outlineLevel="0" collapsed="false">
      <c r="A49" s="5"/>
      <c r="B49" s="5"/>
      <c r="C49" s="5"/>
      <c r="D49" s="5"/>
      <c r="E49" s="5"/>
      <c r="F49" s="5"/>
      <c r="G49" s="5"/>
      <c r="H49" s="11" t="str">
        <f aca="false">IF(E49="","",E49*G49)</f>
        <v/>
      </c>
      <c r="I49" s="5"/>
      <c r="J49" s="5"/>
      <c r="K49" s="5"/>
    </row>
    <row r="50" customFormat="false" ht="15" hidden="false" customHeight="false" outlineLevel="0" collapsed="false">
      <c r="A50" s="5"/>
      <c r="B50" s="5"/>
      <c r="C50" s="5"/>
      <c r="D50" s="5"/>
      <c r="E50" s="5"/>
      <c r="F50" s="5"/>
      <c r="G50" s="5"/>
      <c r="H50" s="11" t="str">
        <f aca="false">IF(E50="","",E50*G50)</f>
        <v/>
      </c>
      <c r="I50" s="5"/>
      <c r="J50" s="5"/>
      <c r="K50" s="5"/>
    </row>
    <row r="51" customFormat="false" ht="15" hidden="false" customHeight="false" outlineLevel="0" collapsed="false">
      <c r="A51" s="5"/>
      <c r="B51" s="5"/>
      <c r="C51" s="5"/>
      <c r="D51" s="5"/>
      <c r="E51" s="5"/>
      <c r="F51" s="5"/>
      <c r="G51" s="5"/>
      <c r="H51" s="11" t="str">
        <f aca="false">IF(E51="","",E51*G51)</f>
        <v/>
      </c>
      <c r="I51" s="5"/>
      <c r="J51" s="5"/>
      <c r="K51" s="5"/>
    </row>
    <row r="52" customFormat="false" ht="15" hidden="false" customHeight="false" outlineLevel="0" collapsed="false">
      <c r="A52" s="5"/>
      <c r="B52" s="5"/>
      <c r="C52" s="5"/>
      <c r="D52" s="5"/>
      <c r="E52" s="5"/>
      <c r="F52" s="5"/>
      <c r="G52" s="5"/>
      <c r="H52" s="11" t="str">
        <f aca="false">IF(E52="","",E52*G52)</f>
        <v/>
      </c>
      <c r="I52" s="5"/>
      <c r="J52" s="5"/>
      <c r="K52" s="5"/>
    </row>
    <row r="53" customFormat="false" ht="15" hidden="false" customHeight="false" outlineLevel="0" collapsed="false">
      <c r="A53" s="5"/>
      <c r="B53" s="5"/>
      <c r="C53" s="5"/>
      <c r="D53" s="5"/>
      <c r="E53" s="5"/>
      <c r="F53" s="5"/>
      <c r="G53" s="5"/>
      <c r="H53" s="11" t="str">
        <f aca="false">IF(E53="","",E53*G53)</f>
        <v/>
      </c>
      <c r="I53" s="5"/>
      <c r="J53" s="5"/>
      <c r="K53" s="5"/>
    </row>
    <row r="54" customFormat="false" ht="15" hidden="false" customHeight="false" outlineLevel="0" collapsed="false">
      <c r="A54" s="5"/>
      <c r="B54" s="5"/>
      <c r="C54" s="5"/>
      <c r="D54" s="5"/>
      <c r="E54" s="5"/>
      <c r="F54" s="5"/>
      <c r="G54" s="5"/>
      <c r="H54" s="11" t="str">
        <f aca="false">IF(E54="","",E54*G54)</f>
        <v/>
      </c>
      <c r="I54" s="5"/>
      <c r="J54" s="5"/>
      <c r="K54" s="5"/>
    </row>
    <row r="55" customFormat="false" ht="15" hidden="false" customHeight="false" outlineLevel="0" collapsed="false">
      <c r="A55" s="5"/>
      <c r="B55" s="5"/>
      <c r="C55" s="5"/>
      <c r="D55" s="5"/>
      <c r="E55" s="5"/>
      <c r="F55" s="5"/>
      <c r="G55" s="5"/>
      <c r="H55" s="11" t="str">
        <f aca="false">IF(E55="","",E55*G55)</f>
        <v/>
      </c>
      <c r="I55" s="5"/>
      <c r="J55" s="5"/>
      <c r="K55" s="5"/>
    </row>
    <row r="56" customFormat="false" ht="15" hidden="false" customHeight="false" outlineLevel="0" collapsed="false">
      <c r="A56" s="5"/>
      <c r="B56" s="5"/>
      <c r="C56" s="5"/>
      <c r="D56" s="5"/>
      <c r="E56" s="5"/>
      <c r="F56" s="5"/>
      <c r="G56" s="5"/>
      <c r="H56" s="11" t="str">
        <f aca="false">IF(E56="","",E56*G56)</f>
        <v/>
      </c>
      <c r="I56" s="5"/>
      <c r="J56" s="5"/>
      <c r="K56" s="5"/>
    </row>
    <row r="57" customFormat="false" ht="15" hidden="false" customHeight="false" outlineLevel="0" collapsed="false">
      <c r="A57" s="5"/>
      <c r="B57" s="5"/>
      <c r="C57" s="5"/>
      <c r="D57" s="5"/>
      <c r="E57" s="5"/>
      <c r="F57" s="5"/>
      <c r="G57" s="5"/>
      <c r="H57" s="11" t="str">
        <f aca="false">IF(E57="","",E57*G57)</f>
        <v/>
      </c>
      <c r="I57" s="5"/>
      <c r="J57" s="5"/>
      <c r="K57" s="5"/>
    </row>
    <row r="58" customFormat="false" ht="15" hidden="false" customHeight="false" outlineLevel="0" collapsed="false">
      <c r="A58" s="12" t="s">
        <v>83</v>
      </c>
      <c r="E58" s="12" t="n">
        <f aca="false">SUM(E43:E57)</f>
        <v>1200</v>
      </c>
      <c r="H58" s="12" t="n">
        <f aca="false">SUM(H43:H57)</f>
        <v>4200</v>
      </c>
      <c r="I58" s="12" t="n">
        <f aca="false">SUM(I43:I57)</f>
        <v>180</v>
      </c>
      <c r="J58" s="12" t="n">
        <f aca="false">SUM(J43:J57)</f>
        <v>210.5</v>
      </c>
      <c r="K58" s="12" t="n">
        <f aca="false">SUM(K43:K57)</f>
        <v>50</v>
      </c>
    </row>
    <row r="60" customFormat="false" ht="15" hidden="false" customHeight="false" outlineLevel="0" collapsed="false">
      <c r="A60" s="3" t="s">
        <v>84</v>
      </c>
    </row>
    <row r="61" customFormat="false" ht="15" hidden="false" customHeight="false" outlineLevel="0" collapsed="false">
      <c r="A61" s="7" t="s">
        <v>85</v>
      </c>
    </row>
    <row r="62" customFormat="false" ht="15" hidden="false" customHeight="false" outlineLevel="0" collapsed="false">
      <c r="A62" s="7" t="s">
        <v>86</v>
      </c>
    </row>
    <row r="63" customFormat="false" ht="15" hidden="false" customHeight="false" outlineLevel="0" collapsed="false">
      <c r="A63" s="7" t="s">
        <v>87</v>
      </c>
    </row>
    <row r="64" customFormat="false" ht="15" hidden="false" customHeight="false" outlineLevel="0" collapsed="false">
      <c r="A64" s="7" t="s">
        <v>88</v>
      </c>
    </row>
    <row r="65" customFormat="false" ht="15" hidden="false" customHeight="false" outlineLevel="0" collapsed="false">
      <c r="A65" s="7" t="s">
        <v>89</v>
      </c>
    </row>
  </sheetData>
  <mergeCells count="1"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3" t="s">
        <v>90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4" t="s">
        <v>91</v>
      </c>
      <c r="E3" s="4" t="s">
        <v>3</v>
      </c>
      <c r="F3" s="14" t="str">
        <f aca="false">입력!B5</f>
        <v>SY-2026-0001</v>
      </c>
      <c r="G3" s="4" t="s">
        <v>92</v>
      </c>
      <c r="H3" s="14" t="str">
        <f aca="false">입력!B6</f>
        <v>2026-08-31</v>
      </c>
    </row>
    <row r="4" customFormat="false" ht="15" hidden="false" customHeight="false" outlineLevel="0" collapsed="false">
      <c r="A4" s="14" t="str">
        <f aca="false">입력!B20</f>
        <v>SY COSMETICS CO., LTD.</v>
      </c>
      <c r="E4" s="4" t="s">
        <v>9</v>
      </c>
      <c r="F4" s="14" t="str">
        <f aca="false">입력!B7</f>
        <v>PO-8842</v>
      </c>
    </row>
    <row r="5" customFormat="false" ht="15" hidden="false" customHeight="false" outlineLevel="0" collapsed="false">
      <c r="A5" s="14" t="str">
        <f aca="false">입력!B21</f>
        <v>123, TEHERAN-RO, GANGNAM-GU</v>
      </c>
    </row>
    <row r="6" customFormat="false" ht="15" hidden="false" customHeight="false" outlineLevel="0" collapsed="false">
      <c r="A6" s="14" t="str">
        <f aca="false">입력!B22</f>
        <v>SEOUL, 06234, REPUBLIC OF KOREA</v>
      </c>
    </row>
    <row r="7" customFormat="false" ht="15" hidden="false" customHeight="false" outlineLevel="0" collapsed="false">
      <c r="A7" s="14" t="str">
        <f aca="false">입력!B23</f>
        <v>J.S. LEE / +82-2-1234-5678</v>
      </c>
    </row>
    <row r="8" customFormat="false" ht="15" hidden="false" customHeight="false" outlineLevel="0" collapsed="false">
      <c r="A8" s="4" t="s">
        <v>93</v>
      </c>
      <c r="E8" s="4" t="s">
        <v>94</v>
      </c>
    </row>
    <row r="9" customFormat="false" ht="15" hidden="false" customHeight="false" outlineLevel="0" collapsed="false">
      <c r="A9" s="14" t="str">
        <f aca="false">입력!B27</f>
        <v>ABC TRADING CO., LTD.</v>
      </c>
      <c r="E9" s="14" t="str">
        <f aca="false">입력!B34</f>
        <v>SAME AS CONSIGNEE</v>
      </c>
    </row>
    <row r="10" customFormat="false" ht="15" hidden="false" customHeight="false" outlineLevel="0" collapsed="false">
      <c r="A10" s="14" t="str">
        <f aca="false">입력!B28</f>
        <v>456 NGUYEN HUE STREET, DISTRICT 1</v>
      </c>
    </row>
    <row r="11" customFormat="false" ht="15" hidden="false" customHeight="false" outlineLevel="0" collapsed="false">
      <c r="A11" s="14" t="str">
        <f aca="false">입력!B29</f>
        <v>HO CHI MINH CITY, VIETNAM</v>
      </c>
    </row>
    <row r="12" customFormat="false" ht="15" hidden="false" customHeight="false" outlineLevel="0" collapsed="false">
      <c r="A12" s="14" t="str">
        <f aca="false">입력!B30</f>
        <v>MR. TRAN / +84-28-1234-5678</v>
      </c>
    </row>
    <row r="13" customFormat="false" ht="15" hidden="false" customHeight="false" outlineLevel="0" collapsed="false">
      <c r="A13" s="4" t="s">
        <v>95</v>
      </c>
      <c r="B13" s="14" t="str">
        <f aca="false">입력!B13</f>
        <v>BUSAN, KOREA</v>
      </c>
      <c r="E13" s="4" t="s">
        <v>96</v>
      </c>
      <c r="F13" s="14" t="str">
        <f aca="false">입력!B14</f>
        <v>HO CHI MINH, VIETNAM</v>
      </c>
    </row>
    <row r="14" customFormat="false" ht="15" hidden="false" customHeight="false" outlineLevel="0" collapsed="false">
      <c r="A14" s="4" t="s">
        <v>97</v>
      </c>
      <c r="B14" s="14" t="str">
        <f aca="false">입력!B15</f>
        <v>HO CHI MINH, VIETNAM</v>
      </c>
      <c r="E14" s="4" t="s">
        <v>98</v>
      </c>
      <c r="F14" s="14" t="str">
        <f aca="false">입력!B16</f>
        <v>T.B.A.</v>
      </c>
    </row>
    <row r="15" customFormat="false" ht="15" hidden="false" customHeight="false" outlineLevel="0" collapsed="false">
      <c r="A15" s="4" t="s">
        <v>99</v>
      </c>
      <c r="B15" s="14" t="str">
        <f aca="false">입력!B17</f>
        <v>T.B.A.</v>
      </c>
      <c r="E15" s="4" t="s">
        <v>100</v>
      </c>
      <c r="F15" s="14" t="str">
        <f aca="false">입력!B12</f>
        <v>REPUBLIC OF KOREA</v>
      </c>
    </row>
    <row r="16" customFormat="false" ht="15" hidden="false" customHeight="false" outlineLevel="0" collapsed="false">
      <c r="A16" s="4" t="s">
        <v>101</v>
      </c>
      <c r="B16" s="14" t="str">
        <f aca="false">입력!B8</f>
        <v>FOB BUSAN</v>
      </c>
      <c r="E16" s="4" t="s">
        <v>102</v>
      </c>
      <c r="F16" s="14" t="str">
        <f aca="false">입력!B9</f>
        <v>Incoterms(R) 2020</v>
      </c>
    </row>
    <row r="17" customFormat="false" ht="15" hidden="false" customHeight="false" outlineLevel="0" collapsed="false">
      <c r="A17" s="4" t="s">
        <v>103</v>
      </c>
      <c r="B17" s="14" t="str">
        <f aca="false">입력!B10</f>
        <v>T/T 30% in advance, 70% after B/L</v>
      </c>
      <c r="E17" s="4" t="s">
        <v>104</v>
      </c>
      <c r="F17" s="14" t="str">
        <f aca="false">입력!B11</f>
        <v>USD</v>
      </c>
    </row>
    <row r="19" customFormat="false" ht="15" hidden="false" customHeight="false" outlineLevel="0" collapsed="false">
      <c r="A19" s="8" t="s">
        <v>68</v>
      </c>
      <c r="B19" s="8" t="s">
        <v>105</v>
      </c>
      <c r="C19" s="8" t="s">
        <v>106</v>
      </c>
      <c r="D19" s="8" t="s">
        <v>71</v>
      </c>
      <c r="E19" s="8" t="s">
        <v>107</v>
      </c>
      <c r="F19" s="8" t="s">
        <v>108</v>
      </c>
      <c r="G19" s="8" t="s">
        <v>109</v>
      </c>
      <c r="H19" s="8" t="s">
        <v>110</v>
      </c>
    </row>
    <row r="20" customFormat="false" ht="15" hidden="false" customHeight="false" outlineLevel="0" collapsed="false">
      <c r="A20" s="11" t="n">
        <f aca="false">IF(입력!$B$43="","",입력!A43)</f>
        <v>1</v>
      </c>
      <c r="B20" s="11" t="str">
        <f aca="false">IF(입력!$B$43="","",입력!B43)</f>
        <v>FACIAL CLEANSING FOAM 150ML</v>
      </c>
      <c r="C20" s="11" t="str">
        <f aca="false">IF(입력!$B$43="","",입력!C43)</f>
        <v>MODEL SY-CF150</v>
      </c>
      <c r="D20" s="11" t="str">
        <f aca="false">IF(입력!$B$43="","",입력!D43)</f>
        <v>3304.99</v>
      </c>
      <c r="E20" s="11" t="n">
        <f aca="false">IF(입력!$B$43="","",입력!E43)</f>
        <v>1200</v>
      </c>
      <c r="F20" s="11" t="str">
        <f aca="false">IF(입력!$B$43="","",입력!F43)</f>
        <v>PCS</v>
      </c>
      <c r="G20" s="11" t="n">
        <f aca="false">IF(입력!$B$43="","",입력!G43)</f>
        <v>3.5</v>
      </c>
      <c r="H20" s="11" t="n">
        <f aca="false">IF(입력!$B$43="","",입력!H43)</f>
        <v>4200</v>
      </c>
    </row>
    <row r="21" customFormat="false" ht="15" hidden="false" customHeight="false" outlineLevel="0" collapsed="false">
      <c r="A21" s="11" t="str">
        <f aca="false">IF(입력!$B$44="","",입력!A44)</f>
        <v/>
      </c>
      <c r="B21" s="11" t="str">
        <f aca="false">IF(입력!$B$44="","",입력!B44)</f>
        <v/>
      </c>
      <c r="C21" s="11" t="str">
        <f aca="false">IF(입력!$B$44="","",입력!C44)</f>
        <v/>
      </c>
      <c r="D21" s="11" t="str">
        <f aca="false">IF(입력!$B$44="","",입력!D44)</f>
        <v/>
      </c>
      <c r="E21" s="11" t="str">
        <f aca="false">IF(입력!$B$44="","",입력!E44)</f>
        <v/>
      </c>
      <c r="F21" s="11" t="str">
        <f aca="false">IF(입력!$B$44="","",입력!F44)</f>
        <v/>
      </c>
      <c r="G21" s="11" t="str">
        <f aca="false">IF(입력!$B$44="","",입력!G44)</f>
        <v/>
      </c>
      <c r="H21" s="11" t="str">
        <f aca="false">IF(입력!$B$44="","",입력!H44)</f>
        <v/>
      </c>
    </row>
    <row r="22" customFormat="false" ht="15" hidden="false" customHeight="false" outlineLevel="0" collapsed="false">
      <c r="A22" s="11" t="str">
        <f aca="false">IF(입력!$B$45="","",입력!A45)</f>
        <v/>
      </c>
      <c r="B22" s="11" t="str">
        <f aca="false">IF(입력!$B$45="","",입력!B45)</f>
        <v/>
      </c>
      <c r="C22" s="11" t="str">
        <f aca="false">IF(입력!$B$45="","",입력!C45)</f>
        <v/>
      </c>
      <c r="D22" s="11" t="str">
        <f aca="false">IF(입력!$B$45="","",입력!D45)</f>
        <v/>
      </c>
      <c r="E22" s="11" t="str">
        <f aca="false">IF(입력!$B$45="","",입력!E45)</f>
        <v/>
      </c>
      <c r="F22" s="11" t="str">
        <f aca="false">IF(입력!$B$45="","",입력!F45)</f>
        <v/>
      </c>
      <c r="G22" s="11" t="str">
        <f aca="false">IF(입력!$B$45="","",입력!G45)</f>
        <v/>
      </c>
      <c r="H22" s="11" t="str">
        <f aca="false">IF(입력!$B$45="","",입력!H45)</f>
        <v/>
      </c>
    </row>
    <row r="23" customFormat="false" ht="15" hidden="false" customHeight="false" outlineLevel="0" collapsed="false">
      <c r="A23" s="11" t="str">
        <f aca="false">IF(입력!$B$46="","",입력!A46)</f>
        <v/>
      </c>
      <c r="B23" s="11" t="str">
        <f aca="false">IF(입력!$B$46="","",입력!B46)</f>
        <v/>
      </c>
      <c r="C23" s="11" t="str">
        <f aca="false">IF(입력!$B$46="","",입력!C46)</f>
        <v/>
      </c>
      <c r="D23" s="11" t="str">
        <f aca="false">IF(입력!$B$46="","",입력!D46)</f>
        <v/>
      </c>
      <c r="E23" s="11" t="str">
        <f aca="false">IF(입력!$B$46="","",입력!E46)</f>
        <v/>
      </c>
      <c r="F23" s="11" t="str">
        <f aca="false">IF(입력!$B$46="","",입력!F46)</f>
        <v/>
      </c>
      <c r="G23" s="11" t="str">
        <f aca="false">IF(입력!$B$46="","",입력!G46)</f>
        <v/>
      </c>
      <c r="H23" s="11" t="str">
        <f aca="false">IF(입력!$B$46="","",입력!H46)</f>
        <v/>
      </c>
    </row>
    <row r="24" customFormat="false" ht="15" hidden="false" customHeight="false" outlineLevel="0" collapsed="false">
      <c r="A24" s="11" t="str">
        <f aca="false">IF(입력!$B$47="","",입력!A47)</f>
        <v/>
      </c>
      <c r="B24" s="11" t="str">
        <f aca="false">IF(입력!$B$47="","",입력!B47)</f>
        <v/>
      </c>
      <c r="C24" s="11" t="str">
        <f aca="false">IF(입력!$B$47="","",입력!C47)</f>
        <v/>
      </c>
      <c r="D24" s="11" t="str">
        <f aca="false">IF(입력!$B$47="","",입력!D47)</f>
        <v/>
      </c>
      <c r="E24" s="11" t="str">
        <f aca="false">IF(입력!$B$47="","",입력!E47)</f>
        <v/>
      </c>
      <c r="F24" s="11" t="str">
        <f aca="false">IF(입력!$B$47="","",입력!F47)</f>
        <v/>
      </c>
      <c r="G24" s="11" t="str">
        <f aca="false">IF(입력!$B$47="","",입력!G47)</f>
        <v/>
      </c>
      <c r="H24" s="11" t="str">
        <f aca="false">IF(입력!$B$47="","",입력!H47)</f>
        <v/>
      </c>
    </row>
    <row r="25" customFormat="false" ht="15" hidden="false" customHeight="false" outlineLevel="0" collapsed="false">
      <c r="A25" s="11" t="str">
        <f aca="false">IF(입력!$B$48="","",입력!A48)</f>
        <v/>
      </c>
      <c r="B25" s="11" t="str">
        <f aca="false">IF(입력!$B$48="","",입력!B48)</f>
        <v/>
      </c>
      <c r="C25" s="11" t="str">
        <f aca="false">IF(입력!$B$48="","",입력!C48)</f>
        <v/>
      </c>
      <c r="D25" s="11" t="str">
        <f aca="false">IF(입력!$B$48="","",입력!D48)</f>
        <v/>
      </c>
      <c r="E25" s="11" t="str">
        <f aca="false">IF(입력!$B$48="","",입력!E48)</f>
        <v/>
      </c>
      <c r="F25" s="11" t="str">
        <f aca="false">IF(입력!$B$48="","",입력!F48)</f>
        <v/>
      </c>
      <c r="G25" s="11" t="str">
        <f aca="false">IF(입력!$B$48="","",입력!G48)</f>
        <v/>
      </c>
      <c r="H25" s="11" t="str">
        <f aca="false">IF(입력!$B$48="","",입력!H48)</f>
        <v/>
      </c>
    </row>
    <row r="26" customFormat="false" ht="15" hidden="false" customHeight="false" outlineLevel="0" collapsed="false">
      <c r="A26" s="11" t="str">
        <f aca="false">IF(입력!$B$49="","",입력!A49)</f>
        <v/>
      </c>
      <c r="B26" s="11" t="str">
        <f aca="false">IF(입력!$B$49="","",입력!B49)</f>
        <v/>
      </c>
      <c r="C26" s="11" t="str">
        <f aca="false">IF(입력!$B$49="","",입력!C49)</f>
        <v/>
      </c>
      <c r="D26" s="11" t="str">
        <f aca="false">IF(입력!$B$49="","",입력!D49)</f>
        <v/>
      </c>
      <c r="E26" s="11" t="str">
        <f aca="false">IF(입력!$B$49="","",입력!E49)</f>
        <v/>
      </c>
      <c r="F26" s="11" t="str">
        <f aca="false">IF(입력!$B$49="","",입력!F49)</f>
        <v/>
      </c>
      <c r="G26" s="11" t="str">
        <f aca="false">IF(입력!$B$49="","",입력!G49)</f>
        <v/>
      </c>
      <c r="H26" s="11" t="str">
        <f aca="false">IF(입력!$B$49="","",입력!H49)</f>
        <v/>
      </c>
    </row>
    <row r="27" customFormat="false" ht="15" hidden="false" customHeight="false" outlineLevel="0" collapsed="false">
      <c r="A27" s="11" t="str">
        <f aca="false">IF(입력!$B$50="","",입력!A50)</f>
        <v/>
      </c>
      <c r="B27" s="11" t="str">
        <f aca="false">IF(입력!$B$50="","",입력!B50)</f>
        <v/>
      </c>
      <c r="C27" s="11" t="str">
        <f aca="false">IF(입력!$B$50="","",입력!C50)</f>
        <v/>
      </c>
      <c r="D27" s="11" t="str">
        <f aca="false">IF(입력!$B$50="","",입력!D50)</f>
        <v/>
      </c>
      <c r="E27" s="11" t="str">
        <f aca="false">IF(입력!$B$50="","",입력!E50)</f>
        <v/>
      </c>
      <c r="F27" s="11" t="str">
        <f aca="false">IF(입력!$B$50="","",입력!F50)</f>
        <v/>
      </c>
      <c r="G27" s="11" t="str">
        <f aca="false">IF(입력!$B$50="","",입력!G50)</f>
        <v/>
      </c>
      <c r="H27" s="11" t="str">
        <f aca="false">IF(입력!$B$50="","",입력!H50)</f>
        <v/>
      </c>
    </row>
    <row r="28" customFormat="false" ht="15" hidden="false" customHeight="false" outlineLevel="0" collapsed="false">
      <c r="A28" s="11" t="str">
        <f aca="false">IF(입력!$B$51="","",입력!A51)</f>
        <v/>
      </c>
      <c r="B28" s="11" t="str">
        <f aca="false">IF(입력!$B$51="","",입력!B51)</f>
        <v/>
      </c>
      <c r="C28" s="11" t="str">
        <f aca="false">IF(입력!$B$51="","",입력!C51)</f>
        <v/>
      </c>
      <c r="D28" s="11" t="str">
        <f aca="false">IF(입력!$B$51="","",입력!D51)</f>
        <v/>
      </c>
      <c r="E28" s="11" t="str">
        <f aca="false">IF(입력!$B$51="","",입력!E51)</f>
        <v/>
      </c>
      <c r="F28" s="11" t="str">
        <f aca="false">IF(입력!$B$51="","",입력!F51)</f>
        <v/>
      </c>
      <c r="G28" s="11" t="str">
        <f aca="false">IF(입력!$B$51="","",입력!G51)</f>
        <v/>
      </c>
      <c r="H28" s="11" t="str">
        <f aca="false">IF(입력!$B$51="","",입력!H51)</f>
        <v/>
      </c>
    </row>
    <row r="29" customFormat="false" ht="15" hidden="false" customHeight="false" outlineLevel="0" collapsed="false">
      <c r="A29" s="11" t="str">
        <f aca="false">IF(입력!$B$52="","",입력!A52)</f>
        <v/>
      </c>
      <c r="B29" s="11" t="str">
        <f aca="false">IF(입력!$B$52="","",입력!B52)</f>
        <v/>
      </c>
      <c r="C29" s="11" t="str">
        <f aca="false">IF(입력!$B$52="","",입력!C52)</f>
        <v/>
      </c>
      <c r="D29" s="11" t="str">
        <f aca="false">IF(입력!$B$52="","",입력!D52)</f>
        <v/>
      </c>
      <c r="E29" s="11" t="str">
        <f aca="false">IF(입력!$B$52="","",입력!E52)</f>
        <v/>
      </c>
      <c r="F29" s="11" t="str">
        <f aca="false">IF(입력!$B$52="","",입력!F52)</f>
        <v/>
      </c>
      <c r="G29" s="11" t="str">
        <f aca="false">IF(입력!$B$52="","",입력!G52)</f>
        <v/>
      </c>
      <c r="H29" s="11" t="str">
        <f aca="false">IF(입력!$B$52="","",입력!H52)</f>
        <v/>
      </c>
    </row>
    <row r="30" customFormat="false" ht="15" hidden="false" customHeight="false" outlineLevel="0" collapsed="false">
      <c r="A30" s="11" t="str">
        <f aca="false">IF(입력!$B$53="","",입력!A53)</f>
        <v/>
      </c>
      <c r="B30" s="11" t="str">
        <f aca="false">IF(입력!$B$53="","",입력!B53)</f>
        <v/>
      </c>
      <c r="C30" s="11" t="str">
        <f aca="false">IF(입력!$B$53="","",입력!C53)</f>
        <v/>
      </c>
      <c r="D30" s="11" t="str">
        <f aca="false">IF(입력!$B$53="","",입력!D53)</f>
        <v/>
      </c>
      <c r="E30" s="11" t="str">
        <f aca="false">IF(입력!$B$53="","",입력!E53)</f>
        <v/>
      </c>
      <c r="F30" s="11" t="str">
        <f aca="false">IF(입력!$B$53="","",입력!F53)</f>
        <v/>
      </c>
      <c r="G30" s="11" t="str">
        <f aca="false">IF(입력!$B$53="","",입력!G53)</f>
        <v/>
      </c>
      <c r="H30" s="11" t="str">
        <f aca="false">IF(입력!$B$53="","",입력!H53)</f>
        <v/>
      </c>
    </row>
    <row r="31" customFormat="false" ht="15" hidden="false" customHeight="false" outlineLevel="0" collapsed="false">
      <c r="A31" s="11" t="str">
        <f aca="false">IF(입력!$B$54="","",입력!A54)</f>
        <v/>
      </c>
      <c r="B31" s="11" t="str">
        <f aca="false">IF(입력!$B$54="","",입력!B54)</f>
        <v/>
      </c>
      <c r="C31" s="11" t="str">
        <f aca="false">IF(입력!$B$54="","",입력!C54)</f>
        <v/>
      </c>
      <c r="D31" s="11" t="str">
        <f aca="false">IF(입력!$B$54="","",입력!D54)</f>
        <v/>
      </c>
      <c r="E31" s="11" t="str">
        <f aca="false">IF(입력!$B$54="","",입력!E54)</f>
        <v/>
      </c>
      <c r="F31" s="11" t="str">
        <f aca="false">IF(입력!$B$54="","",입력!F54)</f>
        <v/>
      </c>
      <c r="G31" s="11" t="str">
        <f aca="false">IF(입력!$B$54="","",입력!G54)</f>
        <v/>
      </c>
      <c r="H31" s="11" t="str">
        <f aca="false">IF(입력!$B$54="","",입력!H54)</f>
        <v/>
      </c>
    </row>
    <row r="32" customFormat="false" ht="15" hidden="false" customHeight="false" outlineLevel="0" collapsed="false">
      <c r="A32" s="11" t="str">
        <f aca="false">IF(입력!$B$55="","",입력!A55)</f>
        <v/>
      </c>
      <c r="B32" s="11" t="str">
        <f aca="false">IF(입력!$B$55="","",입력!B55)</f>
        <v/>
      </c>
      <c r="C32" s="11" t="str">
        <f aca="false">IF(입력!$B$55="","",입력!C55)</f>
        <v/>
      </c>
      <c r="D32" s="11" t="str">
        <f aca="false">IF(입력!$B$55="","",입력!D55)</f>
        <v/>
      </c>
      <c r="E32" s="11" t="str">
        <f aca="false">IF(입력!$B$55="","",입력!E55)</f>
        <v/>
      </c>
      <c r="F32" s="11" t="str">
        <f aca="false">IF(입력!$B$55="","",입력!F55)</f>
        <v/>
      </c>
      <c r="G32" s="11" t="str">
        <f aca="false">IF(입력!$B$55="","",입력!G55)</f>
        <v/>
      </c>
      <c r="H32" s="11" t="str">
        <f aca="false">IF(입력!$B$55="","",입력!H55)</f>
        <v/>
      </c>
    </row>
    <row r="33" customFormat="false" ht="15" hidden="false" customHeight="false" outlineLevel="0" collapsed="false">
      <c r="A33" s="11" t="str">
        <f aca="false">IF(입력!$B$56="","",입력!A56)</f>
        <v/>
      </c>
      <c r="B33" s="11" t="str">
        <f aca="false">IF(입력!$B$56="","",입력!B56)</f>
        <v/>
      </c>
      <c r="C33" s="11" t="str">
        <f aca="false">IF(입력!$B$56="","",입력!C56)</f>
        <v/>
      </c>
      <c r="D33" s="11" t="str">
        <f aca="false">IF(입력!$B$56="","",입력!D56)</f>
        <v/>
      </c>
      <c r="E33" s="11" t="str">
        <f aca="false">IF(입력!$B$56="","",입력!E56)</f>
        <v/>
      </c>
      <c r="F33" s="11" t="str">
        <f aca="false">IF(입력!$B$56="","",입력!F56)</f>
        <v/>
      </c>
      <c r="G33" s="11" t="str">
        <f aca="false">IF(입력!$B$56="","",입력!G56)</f>
        <v/>
      </c>
      <c r="H33" s="11" t="str">
        <f aca="false">IF(입력!$B$56="","",입력!H56)</f>
        <v/>
      </c>
    </row>
    <row r="34" customFormat="false" ht="15" hidden="false" customHeight="false" outlineLevel="0" collapsed="false">
      <c r="A34" s="11" t="str">
        <f aca="false">IF(입력!$B$57="","",입력!A57)</f>
        <v/>
      </c>
      <c r="B34" s="11" t="str">
        <f aca="false">IF(입력!$B$57="","",입력!B57)</f>
        <v/>
      </c>
      <c r="C34" s="11" t="str">
        <f aca="false">IF(입력!$B$57="","",입력!C57)</f>
        <v/>
      </c>
      <c r="D34" s="11" t="str">
        <f aca="false">IF(입력!$B$57="","",입력!D57)</f>
        <v/>
      </c>
      <c r="E34" s="11" t="str">
        <f aca="false">IF(입력!$B$57="","",입력!E57)</f>
        <v/>
      </c>
      <c r="F34" s="11" t="str">
        <f aca="false">IF(입력!$B$57="","",입력!F57)</f>
        <v/>
      </c>
      <c r="G34" s="11" t="str">
        <f aca="false">IF(입력!$B$57="","",입력!G57)</f>
        <v/>
      </c>
      <c r="H34" s="11" t="str">
        <f aca="false">IF(입력!$B$57="","",입력!H57)</f>
        <v/>
      </c>
    </row>
    <row r="35" customFormat="false" ht="15" hidden="false" customHeight="false" outlineLevel="0" collapsed="false">
      <c r="A35" s="12" t="s">
        <v>83</v>
      </c>
      <c r="B35" s="15"/>
      <c r="C35" s="15"/>
      <c r="D35" s="15"/>
      <c r="E35" s="12" t="n">
        <f aca="false">입력!E58</f>
        <v>1200</v>
      </c>
      <c r="F35" s="15"/>
      <c r="G35" s="15"/>
      <c r="H35" s="12" t="n">
        <f aca="false">입력!H58</f>
        <v>4200</v>
      </c>
    </row>
    <row r="37" customFormat="false" ht="15" hidden="false" customHeight="false" outlineLevel="0" collapsed="false">
      <c r="A37" s="4" t="s">
        <v>111</v>
      </c>
      <c r="B37" s="3" t="str">
        <f aca="false">입력!B11 &amp; " " &amp; TEXT(입력!H58,"#,##0.00")</f>
        <v>USD 4,200.00</v>
      </c>
    </row>
    <row r="38" customFormat="false" ht="15" hidden="false" customHeight="false" outlineLevel="0" collapsed="false">
      <c r="A38" s="4" t="s">
        <v>101</v>
      </c>
      <c r="B38" s="14" t="str">
        <f aca="false">입력!B8 &amp; " " &amp; 입력!B9</f>
        <v>FOB BUSAN Incoterms(R) 2020</v>
      </c>
    </row>
    <row r="40" customFormat="false" ht="15" hidden="false" customHeight="false" outlineLevel="0" collapsed="false">
      <c r="F40" s="3" t="str">
        <f aca="false">입력!B20</f>
        <v>SY COSMETICS CO., LTD.</v>
      </c>
    </row>
    <row r="41" customFormat="false" ht="15" hidden="false" customHeight="false" outlineLevel="0" collapsed="false">
      <c r="F41" s="7" t="s">
        <v>112</v>
      </c>
    </row>
    <row r="42" customFormat="false" ht="15" hidden="false" customHeight="false" outlineLevel="0" collapsed="false">
      <c r="F42" s="14" t="s">
        <v>113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4"/>
    <col collapsed="false" customWidth="true" hidden="false" outlineLevel="0" max="8" min="8" style="0" width="16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19.7" hidden="false" customHeight="false" outlineLevel="0" collapsed="false">
      <c r="A1" s="13" t="s">
        <v>114</v>
      </c>
      <c r="B1" s="13"/>
      <c r="C1" s="13"/>
      <c r="D1" s="13"/>
      <c r="E1" s="13"/>
      <c r="F1" s="13"/>
      <c r="G1" s="13"/>
      <c r="H1" s="13"/>
    </row>
    <row r="3" customFormat="false" ht="15" hidden="false" customHeight="false" outlineLevel="0" collapsed="false">
      <c r="A3" s="4" t="s">
        <v>91</v>
      </c>
      <c r="E3" s="4" t="s">
        <v>3</v>
      </c>
      <c r="F3" s="14" t="str">
        <f aca="false">입력!B5</f>
        <v>SY-2026-0001</v>
      </c>
      <c r="G3" s="4" t="s">
        <v>92</v>
      </c>
      <c r="H3" s="14" t="str">
        <f aca="false">입력!B6</f>
        <v>2026-08-31</v>
      </c>
    </row>
    <row r="4" customFormat="false" ht="15" hidden="false" customHeight="false" outlineLevel="0" collapsed="false">
      <c r="A4" s="14" t="str">
        <f aca="false">입력!B20</f>
        <v>SY COSMETICS CO., LTD.</v>
      </c>
      <c r="E4" s="4" t="s">
        <v>9</v>
      </c>
      <c r="F4" s="14" t="str">
        <f aca="false">입력!B7</f>
        <v>PO-8842</v>
      </c>
    </row>
    <row r="5" customFormat="false" ht="15" hidden="false" customHeight="false" outlineLevel="0" collapsed="false">
      <c r="A5" s="14" t="str">
        <f aca="false">입력!B21</f>
        <v>123, TEHERAN-RO, GANGNAM-GU</v>
      </c>
    </row>
    <row r="6" customFormat="false" ht="15" hidden="false" customHeight="false" outlineLevel="0" collapsed="false">
      <c r="A6" s="14" t="str">
        <f aca="false">입력!B22</f>
        <v>SEOUL, 06234, REPUBLIC OF KOREA</v>
      </c>
    </row>
    <row r="7" customFormat="false" ht="15" hidden="false" customHeight="false" outlineLevel="0" collapsed="false">
      <c r="A7" s="14" t="str">
        <f aca="false">입력!B23</f>
        <v>J.S. LEE / +82-2-1234-5678</v>
      </c>
    </row>
    <row r="8" customFormat="false" ht="15" hidden="false" customHeight="false" outlineLevel="0" collapsed="false">
      <c r="A8" s="4" t="s">
        <v>93</v>
      </c>
      <c r="E8" s="4" t="s">
        <v>94</v>
      </c>
    </row>
    <row r="9" customFormat="false" ht="15" hidden="false" customHeight="false" outlineLevel="0" collapsed="false">
      <c r="A9" s="14" t="str">
        <f aca="false">입력!B27</f>
        <v>ABC TRADING CO., LTD.</v>
      </c>
      <c r="E9" s="14" t="str">
        <f aca="false">입력!B34</f>
        <v>SAME AS CONSIGNEE</v>
      </c>
    </row>
    <row r="10" customFormat="false" ht="15" hidden="false" customHeight="false" outlineLevel="0" collapsed="false">
      <c r="A10" s="14" t="str">
        <f aca="false">입력!B28</f>
        <v>456 NGUYEN HUE STREET, DISTRICT 1</v>
      </c>
    </row>
    <row r="11" customFormat="false" ht="15" hidden="false" customHeight="false" outlineLevel="0" collapsed="false">
      <c r="A11" s="14" t="str">
        <f aca="false">입력!B29</f>
        <v>HO CHI MINH CITY, VIETNAM</v>
      </c>
    </row>
    <row r="12" customFormat="false" ht="15" hidden="false" customHeight="false" outlineLevel="0" collapsed="false">
      <c r="A12" s="14" t="str">
        <f aca="false">입력!B30</f>
        <v>MR. TRAN / +84-28-1234-5678</v>
      </c>
    </row>
    <row r="13" customFormat="false" ht="15" hidden="false" customHeight="false" outlineLevel="0" collapsed="false">
      <c r="A13" s="4" t="s">
        <v>95</v>
      </c>
      <c r="B13" s="14" t="str">
        <f aca="false">입력!B13</f>
        <v>BUSAN, KOREA</v>
      </c>
      <c r="E13" s="4" t="s">
        <v>96</v>
      </c>
      <c r="F13" s="14" t="str">
        <f aca="false">입력!B14</f>
        <v>HO CHI MINH, VIETNAM</v>
      </c>
    </row>
    <row r="14" customFormat="false" ht="15" hidden="false" customHeight="false" outlineLevel="0" collapsed="false">
      <c r="A14" s="4" t="s">
        <v>97</v>
      </c>
      <c r="B14" s="14" t="str">
        <f aca="false">입력!B15</f>
        <v>HO CHI MINH, VIETNAM</v>
      </c>
      <c r="E14" s="4" t="s">
        <v>98</v>
      </c>
      <c r="F14" s="14" t="str">
        <f aca="false">입력!B16</f>
        <v>T.B.A.</v>
      </c>
    </row>
    <row r="15" customFormat="false" ht="15" hidden="false" customHeight="false" outlineLevel="0" collapsed="false">
      <c r="A15" s="4" t="s">
        <v>99</v>
      </c>
      <c r="B15" s="14" t="str">
        <f aca="false">입력!B17</f>
        <v>T.B.A.</v>
      </c>
      <c r="E15" s="4" t="s">
        <v>100</v>
      </c>
      <c r="F15" s="14" t="str">
        <f aca="false">입력!B12</f>
        <v>REPUBLIC OF KOREA</v>
      </c>
    </row>
    <row r="16" customFormat="false" ht="15" hidden="false" customHeight="false" outlineLevel="0" collapsed="false">
      <c r="A16" s="4" t="s">
        <v>101</v>
      </c>
      <c r="B16" s="14" t="str">
        <f aca="false">입력!B8</f>
        <v>FOB BUSAN</v>
      </c>
    </row>
    <row r="18" customFormat="false" ht="15" hidden="false" customHeight="false" outlineLevel="0" collapsed="false">
      <c r="A18" s="8" t="s">
        <v>68</v>
      </c>
      <c r="B18" s="8" t="s">
        <v>105</v>
      </c>
      <c r="C18" s="8" t="s">
        <v>106</v>
      </c>
      <c r="D18" s="8" t="s">
        <v>71</v>
      </c>
      <c r="E18" s="8" t="s">
        <v>107</v>
      </c>
      <c r="F18" s="8" t="s">
        <v>108</v>
      </c>
      <c r="G18" s="8" t="s">
        <v>115</v>
      </c>
      <c r="H18" s="8" t="s">
        <v>116</v>
      </c>
      <c r="I18" s="8" t="s">
        <v>117</v>
      </c>
    </row>
    <row r="19" customFormat="false" ht="15" hidden="false" customHeight="false" outlineLevel="0" collapsed="false">
      <c r="A19" s="11" t="n">
        <f aca="false">IF(입력!$B$43="","",입력!A43)</f>
        <v>1</v>
      </c>
      <c r="B19" s="11" t="str">
        <f aca="false">IF(입력!$B$43="","",입력!B43)</f>
        <v>FACIAL CLEANSING FOAM 150ML</v>
      </c>
      <c r="C19" s="11" t="str">
        <f aca="false">IF(입력!$B$43="","",입력!C43)</f>
        <v>MODEL SY-CF150</v>
      </c>
      <c r="D19" s="11" t="str">
        <f aca="false">IF(입력!$B$43="","",입력!D43)</f>
        <v>3304.99</v>
      </c>
      <c r="E19" s="11" t="n">
        <f aca="false">IF(입력!$B$43="","",입력!E43)</f>
        <v>1200</v>
      </c>
      <c r="F19" s="11" t="str">
        <f aca="false">IF(입력!$B$43="","",입력!F43)</f>
        <v>PCS</v>
      </c>
      <c r="G19" s="11" t="n">
        <f aca="false">IF(입력!$B$43="","",입력!I43)</f>
        <v>180</v>
      </c>
      <c r="H19" s="11" t="n">
        <f aca="false">IF(입력!$B$43="","",입력!J43)</f>
        <v>210.5</v>
      </c>
      <c r="I19" s="11" t="n">
        <f aca="false">IF(입력!$B$43="","",입력!K43)</f>
        <v>50</v>
      </c>
    </row>
    <row r="20" customFormat="false" ht="15" hidden="false" customHeight="false" outlineLevel="0" collapsed="false">
      <c r="A20" s="11" t="str">
        <f aca="false">IF(입력!$B$44="","",입력!A44)</f>
        <v/>
      </c>
      <c r="B20" s="11" t="str">
        <f aca="false">IF(입력!$B$44="","",입력!B44)</f>
        <v/>
      </c>
      <c r="C20" s="11" t="str">
        <f aca="false">IF(입력!$B$44="","",입력!C44)</f>
        <v/>
      </c>
      <c r="D20" s="11" t="str">
        <f aca="false">IF(입력!$B$44="","",입력!D44)</f>
        <v/>
      </c>
      <c r="E20" s="11" t="str">
        <f aca="false">IF(입력!$B$44="","",입력!E44)</f>
        <v/>
      </c>
      <c r="F20" s="11" t="str">
        <f aca="false">IF(입력!$B$44="","",입력!F44)</f>
        <v/>
      </c>
      <c r="G20" s="11" t="str">
        <f aca="false">IF(입력!$B$44="","",입력!I44)</f>
        <v/>
      </c>
      <c r="H20" s="11" t="str">
        <f aca="false">IF(입력!$B$44="","",입력!J44)</f>
        <v/>
      </c>
      <c r="I20" s="11" t="str">
        <f aca="false">IF(입력!$B$44="","",입력!K44)</f>
        <v/>
      </c>
    </row>
    <row r="21" customFormat="false" ht="15" hidden="false" customHeight="false" outlineLevel="0" collapsed="false">
      <c r="A21" s="11" t="str">
        <f aca="false">IF(입력!$B$45="","",입력!A45)</f>
        <v/>
      </c>
      <c r="B21" s="11" t="str">
        <f aca="false">IF(입력!$B$45="","",입력!B45)</f>
        <v/>
      </c>
      <c r="C21" s="11" t="str">
        <f aca="false">IF(입력!$B$45="","",입력!C45)</f>
        <v/>
      </c>
      <c r="D21" s="11" t="str">
        <f aca="false">IF(입력!$B$45="","",입력!D45)</f>
        <v/>
      </c>
      <c r="E21" s="11" t="str">
        <f aca="false">IF(입력!$B$45="","",입력!E45)</f>
        <v/>
      </c>
      <c r="F21" s="11" t="str">
        <f aca="false">IF(입력!$B$45="","",입력!F45)</f>
        <v/>
      </c>
      <c r="G21" s="11" t="str">
        <f aca="false">IF(입력!$B$45="","",입력!I45)</f>
        <v/>
      </c>
      <c r="H21" s="11" t="str">
        <f aca="false">IF(입력!$B$45="","",입력!J45)</f>
        <v/>
      </c>
      <c r="I21" s="11" t="str">
        <f aca="false">IF(입력!$B$45="","",입력!K45)</f>
        <v/>
      </c>
    </row>
    <row r="22" customFormat="false" ht="15" hidden="false" customHeight="false" outlineLevel="0" collapsed="false">
      <c r="A22" s="11" t="str">
        <f aca="false">IF(입력!$B$46="","",입력!A46)</f>
        <v/>
      </c>
      <c r="B22" s="11" t="str">
        <f aca="false">IF(입력!$B$46="","",입력!B46)</f>
        <v/>
      </c>
      <c r="C22" s="11" t="str">
        <f aca="false">IF(입력!$B$46="","",입력!C46)</f>
        <v/>
      </c>
      <c r="D22" s="11" t="str">
        <f aca="false">IF(입력!$B$46="","",입력!D46)</f>
        <v/>
      </c>
      <c r="E22" s="11" t="str">
        <f aca="false">IF(입력!$B$46="","",입력!E46)</f>
        <v/>
      </c>
      <c r="F22" s="11" t="str">
        <f aca="false">IF(입력!$B$46="","",입력!F46)</f>
        <v/>
      </c>
      <c r="G22" s="11" t="str">
        <f aca="false">IF(입력!$B$46="","",입력!I46)</f>
        <v/>
      </c>
      <c r="H22" s="11" t="str">
        <f aca="false">IF(입력!$B$46="","",입력!J46)</f>
        <v/>
      </c>
      <c r="I22" s="11" t="str">
        <f aca="false">IF(입력!$B$46="","",입력!K46)</f>
        <v/>
      </c>
    </row>
    <row r="23" customFormat="false" ht="15" hidden="false" customHeight="false" outlineLevel="0" collapsed="false">
      <c r="A23" s="11" t="str">
        <f aca="false">IF(입력!$B$47="","",입력!A47)</f>
        <v/>
      </c>
      <c r="B23" s="11" t="str">
        <f aca="false">IF(입력!$B$47="","",입력!B47)</f>
        <v/>
      </c>
      <c r="C23" s="11" t="str">
        <f aca="false">IF(입력!$B$47="","",입력!C47)</f>
        <v/>
      </c>
      <c r="D23" s="11" t="str">
        <f aca="false">IF(입력!$B$47="","",입력!D47)</f>
        <v/>
      </c>
      <c r="E23" s="11" t="str">
        <f aca="false">IF(입력!$B$47="","",입력!E47)</f>
        <v/>
      </c>
      <c r="F23" s="11" t="str">
        <f aca="false">IF(입력!$B$47="","",입력!F47)</f>
        <v/>
      </c>
      <c r="G23" s="11" t="str">
        <f aca="false">IF(입력!$B$47="","",입력!I47)</f>
        <v/>
      </c>
      <c r="H23" s="11" t="str">
        <f aca="false">IF(입력!$B$47="","",입력!J47)</f>
        <v/>
      </c>
      <c r="I23" s="11" t="str">
        <f aca="false">IF(입력!$B$47="","",입력!K47)</f>
        <v/>
      </c>
    </row>
    <row r="24" customFormat="false" ht="15" hidden="false" customHeight="false" outlineLevel="0" collapsed="false">
      <c r="A24" s="11" t="str">
        <f aca="false">IF(입력!$B$48="","",입력!A48)</f>
        <v/>
      </c>
      <c r="B24" s="11" t="str">
        <f aca="false">IF(입력!$B$48="","",입력!B48)</f>
        <v/>
      </c>
      <c r="C24" s="11" t="str">
        <f aca="false">IF(입력!$B$48="","",입력!C48)</f>
        <v/>
      </c>
      <c r="D24" s="11" t="str">
        <f aca="false">IF(입력!$B$48="","",입력!D48)</f>
        <v/>
      </c>
      <c r="E24" s="11" t="str">
        <f aca="false">IF(입력!$B$48="","",입력!E48)</f>
        <v/>
      </c>
      <c r="F24" s="11" t="str">
        <f aca="false">IF(입력!$B$48="","",입력!F48)</f>
        <v/>
      </c>
      <c r="G24" s="11" t="str">
        <f aca="false">IF(입력!$B$48="","",입력!I48)</f>
        <v/>
      </c>
      <c r="H24" s="11" t="str">
        <f aca="false">IF(입력!$B$48="","",입력!J48)</f>
        <v/>
      </c>
      <c r="I24" s="11" t="str">
        <f aca="false">IF(입력!$B$48="","",입력!K48)</f>
        <v/>
      </c>
    </row>
    <row r="25" customFormat="false" ht="15" hidden="false" customHeight="false" outlineLevel="0" collapsed="false">
      <c r="A25" s="11" t="str">
        <f aca="false">IF(입력!$B$49="","",입력!A49)</f>
        <v/>
      </c>
      <c r="B25" s="11" t="str">
        <f aca="false">IF(입력!$B$49="","",입력!B49)</f>
        <v/>
      </c>
      <c r="C25" s="11" t="str">
        <f aca="false">IF(입력!$B$49="","",입력!C49)</f>
        <v/>
      </c>
      <c r="D25" s="11" t="str">
        <f aca="false">IF(입력!$B$49="","",입력!D49)</f>
        <v/>
      </c>
      <c r="E25" s="11" t="str">
        <f aca="false">IF(입력!$B$49="","",입력!E49)</f>
        <v/>
      </c>
      <c r="F25" s="11" t="str">
        <f aca="false">IF(입력!$B$49="","",입력!F49)</f>
        <v/>
      </c>
      <c r="G25" s="11" t="str">
        <f aca="false">IF(입력!$B$49="","",입력!I49)</f>
        <v/>
      </c>
      <c r="H25" s="11" t="str">
        <f aca="false">IF(입력!$B$49="","",입력!J49)</f>
        <v/>
      </c>
      <c r="I25" s="11" t="str">
        <f aca="false">IF(입력!$B$49="","",입력!K49)</f>
        <v/>
      </c>
    </row>
    <row r="26" customFormat="false" ht="15" hidden="false" customHeight="false" outlineLevel="0" collapsed="false">
      <c r="A26" s="11" t="str">
        <f aca="false">IF(입력!$B$50="","",입력!A50)</f>
        <v/>
      </c>
      <c r="B26" s="11" t="str">
        <f aca="false">IF(입력!$B$50="","",입력!B50)</f>
        <v/>
      </c>
      <c r="C26" s="11" t="str">
        <f aca="false">IF(입력!$B$50="","",입력!C50)</f>
        <v/>
      </c>
      <c r="D26" s="11" t="str">
        <f aca="false">IF(입력!$B$50="","",입력!D50)</f>
        <v/>
      </c>
      <c r="E26" s="11" t="str">
        <f aca="false">IF(입력!$B$50="","",입력!E50)</f>
        <v/>
      </c>
      <c r="F26" s="11" t="str">
        <f aca="false">IF(입력!$B$50="","",입력!F50)</f>
        <v/>
      </c>
      <c r="G26" s="11" t="str">
        <f aca="false">IF(입력!$B$50="","",입력!I50)</f>
        <v/>
      </c>
      <c r="H26" s="11" t="str">
        <f aca="false">IF(입력!$B$50="","",입력!J50)</f>
        <v/>
      </c>
      <c r="I26" s="11" t="str">
        <f aca="false">IF(입력!$B$50="","",입력!K50)</f>
        <v/>
      </c>
    </row>
    <row r="27" customFormat="false" ht="15" hidden="false" customHeight="false" outlineLevel="0" collapsed="false">
      <c r="A27" s="11" t="str">
        <f aca="false">IF(입력!$B$51="","",입력!A51)</f>
        <v/>
      </c>
      <c r="B27" s="11" t="str">
        <f aca="false">IF(입력!$B$51="","",입력!B51)</f>
        <v/>
      </c>
      <c r="C27" s="11" t="str">
        <f aca="false">IF(입력!$B$51="","",입력!C51)</f>
        <v/>
      </c>
      <c r="D27" s="11" t="str">
        <f aca="false">IF(입력!$B$51="","",입력!D51)</f>
        <v/>
      </c>
      <c r="E27" s="11" t="str">
        <f aca="false">IF(입력!$B$51="","",입력!E51)</f>
        <v/>
      </c>
      <c r="F27" s="11" t="str">
        <f aca="false">IF(입력!$B$51="","",입력!F51)</f>
        <v/>
      </c>
      <c r="G27" s="11" t="str">
        <f aca="false">IF(입력!$B$51="","",입력!I51)</f>
        <v/>
      </c>
      <c r="H27" s="11" t="str">
        <f aca="false">IF(입력!$B$51="","",입력!J51)</f>
        <v/>
      </c>
      <c r="I27" s="11" t="str">
        <f aca="false">IF(입력!$B$51="","",입력!K51)</f>
        <v/>
      </c>
    </row>
    <row r="28" customFormat="false" ht="15" hidden="false" customHeight="false" outlineLevel="0" collapsed="false">
      <c r="A28" s="11" t="str">
        <f aca="false">IF(입력!$B$52="","",입력!A52)</f>
        <v/>
      </c>
      <c r="B28" s="11" t="str">
        <f aca="false">IF(입력!$B$52="","",입력!B52)</f>
        <v/>
      </c>
      <c r="C28" s="11" t="str">
        <f aca="false">IF(입력!$B$52="","",입력!C52)</f>
        <v/>
      </c>
      <c r="D28" s="11" t="str">
        <f aca="false">IF(입력!$B$52="","",입력!D52)</f>
        <v/>
      </c>
      <c r="E28" s="11" t="str">
        <f aca="false">IF(입력!$B$52="","",입력!E52)</f>
        <v/>
      </c>
      <c r="F28" s="11" t="str">
        <f aca="false">IF(입력!$B$52="","",입력!F52)</f>
        <v/>
      </c>
      <c r="G28" s="11" t="str">
        <f aca="false">IF(입력!$B$52="","",입력!I52)</f>
        <v/>
      </c>
      <c r="H28" s="11" t="str">
        <f aca="false">IF(입력!$B$52="","",입력!J52)</f>
        <v/>
      </c>
      <c r="I28" s="11" t="str">
        <f aca="false">IF(입력!$B$52="","",입력!K52)</f>
        <v/>
      </c>
    </row>
    <row r="29" customFormat="false" ht="15" hidden="false" customHeight="false" outlineLevel="0" collapsed="false">
      <c r="A29" s="11" t="str">
        <f aca="false">IF(입력!$B$53="","",입력!A53)</f>
        <v/>
      </c>
      <c r="B29" s="11" t="str">
        <f aca="false">IF(입력!$B$53="","",입력!B53)</f>
        <v/>
      </c>
      <c r="C29" s="11" t="str">
        <f aca="false">IF(입력!$B$53="","",입력!C53)</f>
        <v/>
      </c>
      <c r="D29" s="11" t="str">
        <f aca="false">IF(입력!$B$53="","",입력!D53)</f>
        <v/>
      </c>
      <c r="E29" s="11" t="str">
        <f aca="false">IF(입력!$B$53="","",입력!E53)</f>
        <v/>
      </c>
      <c r="F29" s="11" t="str">
        <f aca="false">IF(입력!$B$53="","",입력!F53)</f>
        <v/>
      </c>
      <c r="G29" s="11" t="str">
        <f aca="false">IF(입력!$B$53="","",입력!I53)</f>
        <v/>
      </c>
      <c r="H29" s="11" t="str">
        <f aca="false">IF(입력!$B$53="","",입력!J53)</f>
        <v/>
      </c>
      <c r="I29" s="11" t="str">
        <f aca="false">IF(입력!$B$53="","",입력!K53)</f>
        <v/>
      </c>
    </row>
    <row r="30" customFormat="false" ht="15" hidden="false" customHeight="false" outlineLevel="0" collapsed="false">
      <c r="A30" s="11" t="str">
        <f aca="false">IF(입력!$B$54="","",입력!A54)</f>
        <v/>
      </c>
      <c r="B30" s="11" t="str">
        <f aca="false">IF(입력!$B$54="","",입력!B54)</f>
        <v/>
      </c>
      <c r="C30" s="11" t="str">
        <f aca="false">IF(입력!$B$54="","",입력!C54)</f>
        <v/>
      </c>
      <c r="D30" s="11" t="str">
        <f aca="false">IF(입력!$B$54="","",입력!D54)</f>
        <v/>
      </c>
      <c r="E30" s="11" t="str">
        <f aca="false">IF(입력!$B$54="","",입력!E54)</f>
        <v/>
      </c>
      <c r="F30" s="11" t="str">
        <f aca="false">IF(입력!$B$54="","",입력!F54)</f>
        <v/>
      </c>
      <c r="G30" s="11" t="str">
        <f aca="false">IF(입력!$B$54="","",입력!I54)</f>
        <v/>
      </c>
      <c r="H30" s="11" t="str">
        <f aca="false">IF(입력!$B$54="","",입력!J54)</f>
        <v/>
      </c>
      <c r="I30" s="11" t="str">
        <f aca="false">IF(입력!$B$54="","",입력!K54)</f>
        <v/>
      </c>
    </row>
    <row r="31" customFormat="false" ht="15" hidden="false" customHeight="false" outlineLevel="0" collapsed="false">
      <c r="A31" s="11" t="str">
        <f aca="false">IF(입력!$B$55="","",입력!A55)</f>
        <v/>
      </c>
      <c r="B31" s="11" t="str">
        <f aca="false">IF(입력!$B$55="","",입력!B55)</f>
        <v/>
      </c>
      <c r="C31" s="11" t="str">
        <f aca="false">IF(입력!$B$55="","",입력!C55)</f>
        <v/>
      </c>
      <c r="D31" s="11" t="str">
        <f aca="false">IF(입력!$B$55="","",입력!D55)</f>
        <v/>
      </c>
      <c r="E31" s="11" t="str">
        <f aca="false">IF(입력!$B$55="","",입력!E55)</f>
        <v/>
      </c>
      <c r="F31" s="11" t="str">
        <f aca="false">IF(입력!$B$55="","",입력!F55)</f>
        <v/>
      </c>
      <c r="G31" s="11" t="str">
        <f aca="false">IF(입력!$B$55="","",입력!I55)</f>
        <v/>
      </c>
      <c r="H31" s="11" t="str">
        <f aca="false">IF(입력!$B$55="","",입력!J55)</f>
        <v/>
      </c>
      <c r="I31" s="11" t="str">
        <f aca="false">IF(입력!$B$55="","",입력!K55)</f>
        <v/>
      </c>
    </row>
    <row r="32" customFormat="false" ht="15" hidden="false" customHeight="false" outlineLevel="0" collapsed="false">
      <c r="A32" s="11" t="str">
        <f aca="false">IF(입력!$B$56="","",입력!A56)</f>
        <v/>
      </c>
      <c r="B32" s="11" t="str">
        <f aca="false">IF(입력!$B$56="","",입력!B56)</f>
        <v/>
      </c>
      <c r="C32" s="11" t="str">
        <f aca="false">IF(입력!$B$56="","",입력!C56)</f>
        <v/>
      </c>
      <c r="D32" s="11" t="str">
        <f aca="false">IF(입력!$B$56="","",입력!D56)</f>
        <v/>
      </c>
      <c r="E32" s="11" t="str">
        <f aca="false">IF(입력!$B$56="","",입력!E56)</f>
        <v/>
      </c>
      <c r="F32" s="11" t="str">
        <f aca="false">IF(입력!$B$56="","",입력!F56)</f>
        <v/>
      </c>
      <c r="G32" s="11" t="str">
        <f aca="false">IF(입력!$B$56="","",입력!I56)</f>
        <v/>
      </c>
      <c r="H32" s="11" t="str">
        <f aca="false">IF(입력!$B$56="","",입력!J56)</f>
        <v/>
      </c>
      <c r="I32" s="11" t="str">
        <f aca="false">IF(입력!$B$56="","",입력!K56)</f>
        <v/>
      </c>
    </row>
    <row r="33" customFormat="false" ht="15" hidden="false" customHeight="false" outlineLevel="0" collapsed="false">
      <c r="A33" s="11" t="str">
        <f aca="false">IF(입력!$B$57="","",입력!A57)</f>
        <v/>
      </c>
      <c r="B33" s="11" t="str">
        <f aca="false">IF(입력!$B$57="","",입력!B57)</f>
        <v/>
      </c>
      <c r="C33" s="11" t="str">
        <f aca="false">IF(입력!$B$57="","",입력!C57)</f>
        <v/>
      </c>
      <c r="D33" s="11" t="str">
        <f aca="false">IF(입력!$B$57="","",입력!D57)</f>
        <v/>
      </c>
      <c r="E33" s="11" t="str">
        <f aca="false">IF(입력!$B$57="","",입력!E57)</f>
        <v/>
      </c>
      <c r="F33" s="11" t="str">
        <f aca="false">IF(입력!$B$57="","",입력!F57)</f>
        <v/>
      </c>
      <c r="G33" s="11" t="str">
        <f aca="false">IF(입력!$B$57="","",입력!I57)</f>
        <v/>
      </c>
      <c r="H33" s="11" t="str">
        <f aca="false">IF(입력!$B$57="","",입력!J57)</f>
        <v/>
      </c>
      <c r="I33" s="11" t="str">
        <f aca="false">IF(입력!$B$57="","",입력!K57)</f>
        <v/>
      </c>
    </row>
    <row r="34" customFormat="false" ht="15" hidden="false" customHeight="false" outlineLevel="0" collapsed="false">
      <c r="A34" s="12" t="s">
        <v>83</v>
      </c>
      <c r="B34" s="15"/>
      <c r="C34" s="15"/>
      <c r="D34" s="15"/>
      <c r="E34" s="12" t="n">
        <f aca="false">입력!E58</f>
        <v>1200</v>
      </c>
      <c r="F34" s="15"/>
      <c r="G34" s="12" t="n">
        <f aca="false">입력!I58</f>
        <v>180</v>
      </c>
      <c r="H34" s="12" t="n">
        <f aca="false">입력!J58</f>
        <v>210.5</v>
      </c>
      <c r="I34" s="12" t="n">
        <f aca="false">입력!K58</f>
        <v>50</v>
      </c>
    </row>
    <row r="36" customFormat="false" ht="15" hidden="false" customHeight="false" outlineLevel="0" collapsed="false">
      <c r="A36" s="4" t="s">
        <v>118</v>
      </c>
      <c r="B36" s="14" t="str">
        <f aca="false">입력!K58 &amp; " " &amp; 입력!B37</f>
        <v>50 CTNS</v>
      </c>
    </row>
    <row r="37" customFormat="false" ht="15" hidden="false" customHeight="false" outlineLevel="0" collapsed="false">
      <c r="A37" s="4" t="s">
        <v>119</v>
      </c>
      <c r="B37" s="14" t="n">
        <f aca="false">입력!B38</f>
        <v>2.45</v>
      </c>
    </row>
    <row r="39" customFormat="false" ht="15" hidden="false" customHeight="false" outlineLevel="0" collapsed="false">
      <c r="F39" s="3" t="str">
        <f aca="false">입력!B20</f>
        <v>SY COSMETICS CO., LTD.</v>
      </c>
    </row>
    <row r="40" customFormat="false" ht="15" hidden="false" customHeight="false" outlineLevel="0" collapsed="false">
      <c r="F40" s="7" t="s">
        <v>112</v>
      </c>
    </row>
    <row r="41" customFormat="false" ht="15" hidden="false" customHeight="false" outlineLevel="0" collapsed="false">
      <c r="F41" s="14" t="s">
        <v>113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2026-08-30T17:58:15Z</dcterms:created>
  <dc:creator>openpyxl</dc:creator>
  <dc:description/>
  <dc:language>en-US</dc:language>
  <cp:lastModifiedBy/>
  <dcterms:modified xsi:type="dcterms:W3CDTF">2026-08-30T17:58:15Z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