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<sst xmlns="http://schemas.openxmlformats.org/spreadsheetml/2006/main" count="54" uniqueCount="53">
  <si>
    <r>
      <rPr>
        <b val="true"/>
        <sz val="16"/>
        <rFont val="Arial"/>
        <family val="0"/>
        <charset val="1"/>
      </rPr>
      <t xml:space="preserve">BOM (</t>
    </r>
    <r>
      <rPr>
        <b val="true"/>
        <sz val="16"/>
        <rFont val="WenQuanYi Zen Hei"/>
        <family val="2"/>
      </rPr>
      <t xml:space="preserve">원재료 명세서</t>
    </r>
    <r>
      <rPr>
        <b val="true"/>
        <sz val="16"/>
        <rFont val="Arial"/>
        <family val="0"/>
        <charset val="1"/>
      </rPr>
      <t xml:space="preserve">) — FTA </t>
    </r>
    <r>
      <rPr>
        <b val="true"/>
        <sz val="16"/>
        <rFont val="WenQuanYi Zen Hei"/>
        <family val="2"/>
      </rPr>
      <t xml:space="preserve">원산지 판정용</t>
    </r>
  </si>
  <si>
    <r>
      <rPr>
        <i val="true"/>
        <sz val="9"/>
        <color rgb="FF808080"/>
        <rFont val="WenQuanYi Zen Hei"/>
        <family val="2"/>
      </rPr>
      <t xml:space="preserve">관세사가 원산지판정을 하기 위해 가장 먼저 요구하는 서류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원재료를 누락 없이 기재할 것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</si>
  <si>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완제품 품명</t>
  </si>
  <si>
    <t xml:space="preserve">FACIAL CLEANSING FOAM 150ML</t>
  </si>
  <si>
    <r>
      <rPr>
        <b val="true"/>
        <sz val="10"/>
        <rFont val="WenQuanYi Zen Hei"/>
        <family val="2"/>
      </rPr>
      <t xml:space="preserve">완제품 </t>
    </r>
    <r>
      <rPr>
        <b val="true"/>
        <sz val="10"/>
        <rFont val="Arial"/>
        <family val="0"/>
        <charset val="1"/>
      </rPr>
      <t xml:space="preserve">HS CODE</t>
    </r>
  </si>
  <si>
    <t xml:space="preserve">3304.99</t>
  </si>
  <si>
    <r>
      <rPr>
        <i val="true"/>
        <sz val="9"/>
        <color rgb="FF808080"/>
        <rFont val="Arial"/>
        <family val="0"/>
        <charset val="1"/>
      </rPr>
      <t xml:space="preserve">6</t>
    </r>
    <r>
      <rPr>
        <i val="true"/>
        <sz val="9"/>
        <color rgb="FF808080"/>
        <rFont val="WenQuanYi Zen Hei"/>
        <family val="2"/>
      </rPr>
      <t xml:space="preserve">단위 이상</t>
    </r>
  </si>
  <si>
    <t xml:space="preserve">수출 대상국</t>
  </si>
  <si>
    <t xml:space="preserve">VIETNAM</t>
  </si>
  <si>
    <t xml:space="preserve">적용 협정</t>
  </si>
  <si>
    <r>
      <rPr>
        <sz val="10"/>
        <color rgb="FF0000FF"/>
        <rFont val="WenQuanYi Zen Hei"/>
        <family val="2"/>
      </rPr>
      <t xml:space="preserve">한</t>
    </r>
    <r>
      <rPr>
        <sz val="10"/>
        <color rgb="FF0000FF"/>
        <rFont val="Arial"/>
        <family val="0"/>
        <charset val="1"/>
      </rPr>
      <t xml:space="preserve">-</t>
    </r>
    <r>
      <rPr>
        <sz val="10"/>
        <color rgb="FF0000FF"/>
        <rFont val="WenQuanYi Zen Hei"/>
        <family val="2"/>
      </rPr>
      <t xml:space="preserve">베트남 </t>
    </r>
    <r>
      <rPr>
        <sz val="10"/>
        <color rgb="FF0000FF"/>
        <rFont val="Arial"/>
        <family val="0"/>
        <charset val="1"/>
      </rPr>
      <t xml:space="preserve">FTA</t>
    </r>
  </si>
  <si>
    <r>
      <rPr>
        <i val="true"/>
        <sz val="9"/>
        <color rgb="FF808080"/>
        <rFont val="WenQuanYi Zen Hei"/>
        <family val="2"/>
      </rPr>
      <t xml:space="preserve">한</t>
    </r>
    <r>
      <rPr>
        <i val="true"/>
        <sz val="9"/>
        <color rgb="FF808080"/>
        <rFont val="Arial"/>
        <family val="0"/>
        <charset val="1"/>
      </rPr>
      <t xml:space="preserve">-</t>
    </r>
    <r>
      <rPr>
        <i val="true"/>
        <sz val="9"/>
        <color rgb="FF808080"/>
        <rFont val="WenQuanYi Zen Hei"/>
        <family val="2"/>
      </rPr>
      <t xml:space="preserve">아세안 </t>
    </r>
    <r>
      <rPr>
        <i val="true"/>
        <sz val="9"/>
        <color rgb="FF808080"/>
        <rFont val="Arial"/>
        <family val="0"/>
        <charset val="1"/>
      </rPr>
      <t xml:space="preserve">/ RCEP </t>
    </r>
    <r>
      <rPr>
        <i val="true"/>
        <sz val="9"/>
        <color rgb="FF808080"/>
        <rFont val="WenQuanYi Zen Hei"/>
        <family val="2"/>
      </rPr>
      <t xml:space="preserve">중 선택 가능</t>
    </r>
  </si>
  <si>
    <t xml:space="preserve">원산지결정기준</t>
  </si>
  <si>
    <t xml:space="preserve">CTH or RVC 40%</t>
  </si>
  <si>
    <r>
      <rPr>
        <i val="true"/>
        <sz val="9"/>
        <color rgb="FF808080"/>
        <rFont val="Arial"/>
        <family val="0"/>
        <charset val="1"/>
      </rPr>
      <t xml:space="preserve">FTA </t>
    </r>
    <r>
      <rPr>
        <i val="true"/>
        <sz val="9"/>
        <color rgb="FF808080"/>
        <rFont val="WenQuanYi Zen Hei"/>
        <family val="2"/>
      </rPr>
      <t xml:space="preserve">포털에서 조회</t>
    </r>
  </si>
  <si>
    <r>
      <rPr>
        <b val="true"/>
        <sz val="10"/>
        <rFont val="WenQuanYi Zen Hei"/>
        <family val="2"/>
      </rPr>
      <t xml:space="preserve">완제품 </t>
    </r>
    <r>
      <rPr>
        <b val="true"/>
        <sz val="10"/>
        <rFont val="Arial"/>
        <family val="0"/>
        <charset val="1"/>
      </rPr>
      <t xml:space="preserve">FOB </t>
    </r>
    <r>
      <rPr>
        <b val="true"/>
        <sz val="10"/>
        <rFont val="WenQuanYi Zen Hei"/>
        <family val="2"/>
      </rPr>
      <t xml:space="preserve">단가</t>
    </r>
  </si>
  <si>
    <t xml:space="preserve">3.50</t>
  </si>
  <si>
    <t xml:space="preserve">부가가치기준 계산용</t>
  </si>
  <si>
    <t xml:space="preserve">No.</t>
  </si>
  <si>
    <t xml:space="preserve">원재료명</t>
  </si>
  <si>
    <t xml:space="preserve">HS CODE</t>
  </si>
  <si>
    <t xml:space="preserve">원산지</t>
  </si>
  <si>
    <t xml:space="preserve">공급자</t>
  </si>
  <si>
    <t xml:space="preserve">투입량</t>
  </si>
  <si>
    <t xml:space="preserve">단위</t>
  </si>
  <si>
    <t xml:space="preserve">단가</t>
  </si>
  <si>
    <t xml:space="preserve">금액</t>
  </si>
  <si>
    <t xml:space="preserve">원산지확인서 보유</t>
  </si>
  <si>
    <t xml:space="preserve">PURIFIED WATER</t>
  </si>
  <si>
    <t xml:space="preserve">2201.90</t>
  </si>
  <si>
    <t xml:space="preserve">KR</t>
  </si>
  <si>
    <r>
      <rPr>
        <sz val="10"/>
        <color rgb="FF0000FF"/>
        <rFont val="WenQuanYi Zen Hei"/>
        <family val="2"/>
      </rPr>
      <t xml:space="preserve">대한케미칼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주</t>
    </r>
    <r>
      <rPr>
        <sz val="10"/>
        <color rgb="FF0000FF"/>
        <rFont val="Arial"/>
        <family val="0"/>
        <charset val="1"/>
      </rPr>
      <t xml:space="preserve">)</t>
    </r>
  </si>
  <si>
    <t xml:space="preserve">KG</t>
  </si>
  <si>
    <t xml:space="preserve">해당없음</t>
  </si>
  <si>
    <t xml:space="preserve">GLYCERIN</t>
  </si>
  <si>
    <t xml:space="preserve">2905.45</t>
  </si>
  <si>
    <t xml:space="preserve">CN</t>
  </si>
  <si>
    <t xml:space="preserve">상하이케미컬</t>
  </si>
  <si>
    <t xml:space="preserve">미보유</t>
  </si>
  <si>
    <t xml:space="preserve">TOTAL</t>
  </si>
  <si>
    <t xml:space="preserve">■ 판정 보조 계산</t>
  </si>
  <si>
    <r>
      <rPr>
        <b val="true"/>
        <sz val="10"/>
        <rFont val="WenQuanYi Zen Hei"/>
        <family val="2"/>
      </rPr>
      <t xml:space="preserve">비원산지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외국산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재료 합계</t>
    </r>
  </si>
  <si>
    <r>
      <rPr>
        <i val="true"/>
        <sz val="9"/>
        <color rgb="FF808080"/>
        <rFont val="WenQuanYi Zen Hei"/>
        <family val="2"/>
      </rPr>
      <t xml:space="preserve">원산지 열에 </t>
    </r>
    <r>
      <rPr>
        <i val="true"/>
        <sz val="9"/>
        <color rgb="FF808080"/>
        <rFont val="Arial"/>
        <family val="0"/>
        <charset val="1"/>
      </rPr>
      <t xml:space="preserve">KR </t>
    </r>
    <r>
      <rPr>
        <i val="true"/>
        <sz val="9"/>
        <color rgb="FF808080"/>
        <rFont val="WenQuanYi Zen Hei"/>
        <family val="2"/>
      </rPr>
      <t xml:space="preserve">이 아닌 것의 금액 합</t>
    </r>
  </si>
  <si>
    <r>
      <rPr>
        <b val="true"/>
        <sz val="10"/>
        <rFont val="WenQuanYi Zen Hei"/>
        <family val="2"/>
      </rPr>
      <t xml:space="preserve">비원산지 비중 </t>
    </r>
    <r>
      <rPr>
        <b val="true"/>
        <sz val="10"/>
        <rFont val="Arial"/>
        <family val="0"/>
        <charset val="1"/>
      </rPr>
      <t xml:space="preserve">(%)</t>
    </r>
  </si>
  <si>
    <r>
      <rPr>
        <i val="true"/>
        <sz val="9"/>
        <color rgb="FF808080"/>
        <rFont val="WenQuanYi Zen Hei"/>
        <family val="2"/>
      </rPr>
      <t xml:space="preserve">미소기준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최소허용기준</t>
    </r>
    <r>
      <rPr>
        <i val="true"/>
        <sz val="9"/>
        <color rgb="FF808080"/>
        <rFont val="Arial"/>
        <family val="0"/>
        <charset val="1"/>
      </rPr>
      <t xml:space="preserve">) </t>
    </r>
    <r>
      <rPr>
        <i val="true"/>
        <sz val="9"/>
        <color rgb="FF808080"/>
        <rFont val="WenQuanYi Zen Hei"/>
        <family val="2"/>
      </rPr>
      <t xml:space="preserve">판단 참고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협정별 기준 확인 필요</t>
    </r>
  </si>
  <si>
    <r>
      <rPr>
        <b val="true"/>
        <sz val="10"/>
        <rFont val="WenQuanYi Zen Hei"/>
        <family val="2"/>
      </rPr>
      <t xml:space="preserve">역내 부가가치 비중 </t>
    </r>
    <r>
      <rPr>
        <b val="true"/>
        <sz val="10"/>
        <rFont val="Arial"/>
        <family val="0"/>
        <charset val="1"/>
      </rPr>
      <t xml:space="preserve">(%)</t>
    </r>
  </si>
  <si>
    <r>
      <rPr>
        <i val="true"/>
        <sz val="9"/>
        <color rgb="FF808080"/>
        <rFont val="Arial"/>
        <family val="0"/>
        <charset val="1"/>
      </rPr>
      <t xml:space="preserve">RVC </t>
    </r>
    <r>
      <rPr>
        <i val="true"/>
        <sz val="9"/>
        <color rgb="FF808080"/>
        <rFont val="WenQuanYi Zen Hei"/>
        <family val="2"/>
      </rPr>
      <t xml:space="preserve">기준 충족 여부 참고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정식 계산식은 협정별로 다름</t>
    </r>
  </si>
  <si>
    <t xml:space="preserve">작성 주의</t>
  </si>
  <si>
    <r>
      <rPr>
        <i val="true"/>
        <sz val="9"/>
        <color rgb="FF808080"/>
        <rFont val="Arial"/>
        <family val="0"/>
        <charset val="1"/>
      </rPr>
      <t xml:space="preserve">01  </t>
    </r>
    <r>
      <rPr>
        <i val="true"/>
        <sz val="9"/>
        <color rgb="FF808080"/>
        <rFont val="WenQuanYi Zen Hei"/>
        <family val="2"/>
      </rPr>
      <t xml:space="preserve">원재료는 누락 없이 전부 기재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누락 시 판정 결과가 뒤집힐 수 있음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</si>
  <si>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02  HS CODE </t>
    </r>
    <r>
      <rPr>
        <i val="true"/>
        <sz val="9"/>
        <color rgb="FF808080"/>
        <rFont val="WenQuanYi Zen Hei"/>
        <family val="2"/>
      </rPr>
      <t xml:space="preserve">는 아는 것만 먼저 기재해도 됨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원산지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가격은 판정 단계에서 필요한 만큼만 채움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</si>
  <si>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03  </t>
    </r>
    <r>
      <rPr>
        <i val="true"/>
        <sz val="9"/>
        <color rgb="FF808080"/>
        <rFont val="WenQuanYi Zen Hei"/>
        <family val="2"/>
      </rPr>
      <t xml:space="preserve">완제품과 </t>
    </r>
    <r>
      <rPr>
        <i val="true"/>
        <sz val="9"/>
        <color rgb="FF808080"/>
        <rFont val="Arial"/>
        <family val="0"/>
        <charset val="1"/>
      </rPr>
      <t xml:space="preserve">HS 4</t>
    </r>
    <r>
      <rPr>
        <i val="true"/>
        <sz val="9"/>
        <color rgb="FF808080"/>
        <rFont val="WenQuanYi Zen Hei"/>
        <family val="2"/>
      </rPr>
      <t xml:space="preserve">단위가 같은 원재료는 세번변경기준이 성립하지 않음 → 그 원재료의 원산지확인서 필요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</si>
  <si>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04  </t>
    </r>
    <r>
      <rPr>
        <i val="true"/>
        <sz val="9"/>
        <color rgb="FF808080"/>
        <rFont val="WenQuanYi Zen Hei"/>
        <family val="2"/>
      </rPr>
      <t xml:space="preserve">위 판정 보조 계산은 참고용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정식 판정은 협정별 원산지결정기준에 따라 관세사가 수행함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</si>
  <si>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05  </t>
    </r>
    <r>
      <rPr>
        <i val="true"/>
        <sz val="9"/>
        <color rgb="FF808080"/>
        <rFont val="WenQuanYi Zen Hei"/>
        <family val="2"/>
      </rPr>
      <t xml:space="preserve">자율발급 협정이라도 이 </t>
    </r>
    <r>
      <rPr>
        <i val="true"/>
        <sz val="9"/>
        <color rgb="FF808080"/>
        <rFont val="Arial"/>
        <family val="0"/>
        <charset val="1"/>
      </rPr>
      <t xml:space="preserve">BOM </t>
    </r>
    <r>
      <rPr>
        <i val="true"/>
        <sz val="9"/>
        <color rgb="FF808080"/>
        <rFont val="WenQuanYi Zen Hei"/>
        <family val="2"/>
      </rPr>
      <t xml:space="preserve">과 근거서류를 보관해야 사후 원산지조사에 대응할 수 있음</t>
    </r>
    <r>
      <rPr>
        <i val="true"/>
        <sz val="9"/>
        <color rgb="FF80808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</si>
</sst>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6"/>
      <name val="WenQuanYi Zen Hei"/>
      <family val="2"/>
    </font>
    <font>
      <i val="true"/>
      <sz val="9"/>
      <color rgb="FF808080"/>
      <name val="WenQuanYi Zen Hei"/>
      <family val="2"/>
    </font>
    <font>
      <i val="true"/>
      <sz val="9"/>
      <color rgb="FF808080"/>
      <name val="Arial"/>
      <family val="0"/>
      <charset val="1"/>
    </font>
    <font>
      <b val="true"/>
      <sz val="10"/>
      <name val="WenQuanYi Zen Hei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8"/>
  </cols>
  <sheetData>
    <row r="1" customFormat="false" ht="20.8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4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  <c r="D5" s="5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6" t="s">
        <v>10</v>
      </c>
      <c r="D7" s="7" t="s">
        <v>11</v>
      </c>
    </row>
    <row r="8" customFormat="false" ht="15" hidden="false" customHeight="false" outlineLevel="0" collapsed="false">
      <c r="A8" s="3" t="s">
        <v>12</v>
      </c>
      <c r="B8" s="4" t="s">
        <v>13</v>
      </c>
      <c r="D8" s="5" t="s">
        <v>14</v>
      </c>
    </row>
    <row r="9" customFormat="false" ht="15" hidden="false" customHeight="false" outlineLevel="0" collapsed="false">
      <c r="A9" s="3" t="s">
        <v>15</v>
      </c>
      <c r="B9" s="4" t="s">
        <v>16</v>
      </c>
      <c r="D9" s="7" t="s">
        <v>17</v>
      </c>
    </row>
    <row r="11" customFormat="false" ht="15" hidden="false" customHeight="false" outlineLevel="0" collapsed="false">
      <c r="A11" s="8" t="s">
        <v>18</v>
      </c>
      <c r="B11" s="9" t="s">
        <v>19</v>
      </c>
      <c r="C11" s="8" t="s">
        <v>20</v>
      </c>
      <c r="D11" s="9" t="s">
        <v>21</v>
      </c>
      <c r="E11" s="9" t="s">
        <v>22</v>
      </c>
      <c r="F11" s="9" t="s">
        <v>23</v>
      </c>
      <c r="G11" s="9" t="s">
        <v>24</v>
      </c>
      <c r="H11" s="9" t="s">
        <v>25</v>
      </c>
      <c r="I11" s="9" t="s">
        <v>26</v>
      </c>
      <c r="J11" s="9" t="s">
        <v>27</v>
      </c>
    </row>
    <row r="12" customFormat="false" ht="15" hidden="false" customHeight="false" outlineLevel="0" collapsed="false">
      <c r="A12" s="4" t="n">
        <v>1</v>
      </c>
      <c r="B12" s="4" t="s">
        <v>28</v>
      </c>
      <c r="C12" s="4" t="s">
        <v>29</v>
      </c>
      <c r="D12" s="4" t="s">
        <v>30</v>
      </c>
      <c r="E12" s="6" t="s">
        <v>31</v>
      </c>
      <c r="F12" s="4" t="n">
        <v>0.6</v>
      </c>
      <c r="G12" s="4" t="s">
        <v>32</v>
      </c>
      <c r="H12" s="4" t="n">
        <v>0.2</v>
      </c>
      <c r="I12" s="10" t="n">
        <f aca="false">IF(F12="","",F12*H12)</f>
        <v>0.12</v>
      </c>
      <c r="J12" s="6" t="s">
        <v>33</v>
      </c>
    </row>
    <row r="13" customFormat="false" ht="15" hidden="false" customHeight="false" outlineLevel="0" collapsed="false">
      <c r="A13" s="4" t="n">
        <v>2</v>
      </c>
      <c r="B13" s="4" t="s">
        <v>34</v>
      </c>
      <c r="C13" s="4" t="s">
        <v>35</v>
      </c>
      <c r="D13" s="4" t="s">
        <v>36</v>
      </c>
      <c r="E13" s="6" t="s">
        <v>37</v>
      </c>
      <c r="F13" s="4" t="n">
        <v>0.05</v>
      </c>
      <c r="G13" s="4" t="s">
        <v>32</v>
      </c>
      <c r="H13" s="4" t="n">
        <v>1.1</v>
      </c>
      <c r="I13" s="10" t="n">
        <f aca="false">IF(F13="","",F13*H13)</f>
        <v>0.055</v>
      </c>
      <c r="J13" s="6" t="s">
        <v>38</v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11" t="str">
        <f aca="false">IF(F14="","",F14*H14)</f>
        <v/>
      </c>
      <c r="J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11" t="str">
        <f aca="false">IF(F15="","",F15*H15)</f>
        <v/>
      </c>
      <c r="J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11" t="str">
        <f aca="false">IF(F16="","",F16*H16)</f>
        <v/>
      </c>
      <c r="J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11" t="str">
        <f aca="false">IF(F17="","",F17*H17)</f>
        <v/>
      </c>
      <c r="J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11" t="str">
        <f aca="false">IF(F18="","",F18*H18)</f>
        <v/>
      </c>
      <c r="J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11" t="str">
        <f aca="false">IF(F19="","",F19*H19)</f>
        <v/>
      </c>
      <c r="J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11" t="str">
        <f aca="false">IF(F20="","",F20*H20)</f>
        <v/>
      </c>
      <c r="J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11" t="str">
        <f aca="false">IF(F21="","",F21*H21)</f>
        <v/>
      </c>
      <c r="J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11" t="str">
        <f aca="false">IF(F22="","",F22*H22)</f>
        <v/>
      </c>
      <c r="J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11" t="str">
        <f aca="false">IF(F23="","",F23*H23)</f>
        <v/>
      </c>
      <c r="J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11" t="str">
        <f aca="false">IF(F24="","",F24*H24)</f>
        <v/>
      </c>
      <c r="J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11" t="str">
        <f aca="false">IF(F25="","",F25*H25)</f>
        <v/>
      </c>
      <c r="J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11" t="str">
        <f aca="false">IF(F26="","",F26*H26)</f>
        <v/>
      </c>
      <c r="J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11" t="str">
        <f aca="false">IF(F27="","",F27*H27)</f>
        <v/>
      </c>
      <c r="J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11" t="str">
        <f aca="false">IF(F28="","",F28*H28)</f>
        <v/>
      </c>
      <c r="J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11" t="str">
        <f aca="false">IF(F29="","",F29*H29)</f>
        <v/>
      </c>
      <c r="J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11" t="str">
        <f aca="false">IF(F30="","",F30*H30)</f>
        <v/>
      </c>
      <c r="J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11" t="str">
        <f aca="false">IF(F31="","",F31*H31)</f>
        <v/>
      </c>
      <c r="J31" s="4"/>
    </row>
    <row r="32" customFormat="false" ht="15" hidden="false" customHeight="false" outlineLevel="0" collapsed="false">
      <c r="A32" s="12" t="s">
        <v>39</v>
      </c>
      <c r="B32" s="13"/>
      <c r="C32" s="13"/>
      <c r="D32" s="13"/>
      <c r="E32" s="13"/>
      <c r="F32" s="13"/>
      <c r="G32" s="13"/>
      <c r="H32" s="13"/>
      <c r="I32" s="12" t="n">
        <f aca="false">SUM(I12:I31)</f>
        <v>0.175</v>
      </c>
      <c r="J32" s="13"/>
    </row>
    <row r="34" customFormat="false" ht="15" hidden="false" customHeight="false" outlineLevel="0" collapsed="false">
      <c r="A34" s="3" t="s">
        <v>40</v>
      </c>
    </row>
    <row r="35" customFormat="false" ht="15" hidden="false" customHeight="false" outlineLevel="0" collapsed="false">
      <c r="A35" s="3" t="s">
        <v>41</v>
      </c>
      <c r="B35" s="11" t="n">
        <f aca="false">SUMIF(D12:D31,"&lt;&gt;KR",I12:I31)</f>
        <v>0.055</v>
      </c>
      <c r="D35" s="7" t="s">
        <v>42</v>
      </c>
    </row>
    <row r="36" customFormat="false" ht="15" hidden="false" customHeight="false" outlineLevel="0" collapsed="false">
      <c r="A36" s="3" t="s">
        <v>43</v>
      </c>
      <c r="B36" s="14" t="n">
        <f aca="false">IFERROR(B35/I32,0)</f>
        <v>0.314285714285714</v>
      </c>
      <c r="D36" s="7" t="s">
        <v>44</v>
      </c>
    </row>
    <row r="37" customFormat="false" ht="15" hidden="false" customHeight="false" outlineLevel="0" collapsed="false">
      <c r="A37" s="3" t="s">
        <v>45</v>
      </c>
      <c r="B37" s="14" t="n">
        <f aca="false">IFERROR(1-B36,0)</f>
        <v>0.685714285714286</v>
      </c>
      <c r="D37" s="5" t="s">
        <v>46</v>
      </c>
    </row>
    <row r="39" customFormat="false" ht="15" hidden="false" customHeight="false" outlineLevel="0" collapsed="false">
      <c r="A39" s="3" t="s">
        <v>47</v>
      </c>
    </row>
    <row r="40" customFormat="false" ht="15" hidden="false" customHeight="false" outlineLevel="0" collapsed="false">
      <c r="A40" s="5" t="s">
        <v>48</v>
      </c>
    </row>
    <row r="41" customFormat="false" ht="15" hidden="false" customHeight="false" outlineLevel="0" collapsed="false">
      <c r="A41" s="5" t="s">
        <v>49</v>
      </c>
    </row>
    <row r="42" customFormat="false" ht="15" hidden="false" customHeight="false" outlineLevel="0" collapsed="false">
      <c r="A42" s="5" t="s">
        <v>50</v>
      </c>
    </row>
    <row r="43" customFormat="false" ht="15" hidden="false" customHeight="false" outlineLevel="0" collapsed="false">
      <c r="A43" s="5" t="s">
        <v>51</v>
      </c>
    </row>
    <row r="44" customFormat="false" ht="15" hidden="false" customHeight="false" outlineLevel="0" collapsed="false">
      <c r="A44" s="5" t="s">
        <v>52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2026-08-30T18:15:38Z</dcterms:created>
  <dc:creator>openpyxl</dc:creator>
  <dc:description/>
  <dc:language>en-US</dc:language>
  <cp:lastModifiedBy/>
  <dcterms:modified xsi:type="dcterms:W3CDTF">2026-08-30T18:15:38Z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